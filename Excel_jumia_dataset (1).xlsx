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Assignments\1\"/>
    </mc:Choice>
  </mc:AlternateContent>
  <bookViews>
    <workbookView xWindow="0" yWindow="0" windowWidth="19200" windowHeight="6760"/>
  </bookViews>
  <sheets>
    <sheet name="Excel_jumia_dataset (1)" sheetId="1" r:id="rId1"/>
    <sheet name="Dashboard" sheetId="2" r:id="rId2"/>
    <sheet name="Pivots" sheetId="4" r:id="rId3"/>
  </sheets>
  <definedNames>
    <definedName name="_xlnm._FilterDatabase" localSheetId="0" hidden="1">'Excel_jumia_dataset (1)'!$A$1:$F$110</definedName>
  </definedNames>
  <calcPr calcId="162913"/>
  <pivotCaches>
    <pivotCache cacheId="5" r:id="rId4"/>
  </pivotCaches>
</workbook>
</file>

<file path=xl/calcChain.xml><?xml version="1.0" encoding="utf-8"?>
<calcChain xmlns="http://schemas.openxmlformats.org/spreadsheetml/2006/main">
  <c r="I27" i="4" l="1"/>
  <c r="H27" i="4"/>
  <c r="G27" i="4"/>
  <c r="I26" i="4"/>
  <c r="H26" i="4"/>
  <c r="G26" i="4"/>
  <c r="I25" i="4"/>
  <c r="H25" i="4"/>
  <c r="G25" i="4"/>
  <c r="I24" i="4"/>
  <c r="H24" i="4"/>
  <c r="G24" i="4"/>
  <c r="I23" i="4"/>
  <c r="H23" i="4"/>
  <c r="G23" i="4"/>
  <c r="I22" i="4"/>
  <c r="H22" i="4"/>
  <c r="G22" i="4"/>
  <c r="I21" i="4"/>
  <c r="H21" i="4"/>
  <c r="G21" i="4"/>
  <c r="I20" i="4"/>
  <c r="H20" i="4"/>
  <c r="G20" i="4"/>
  <c r="I19" i="4"/>
  <c r="H19" i="4"/>
  <c r="G19" i="4"/>
  <c r="I18" i="4"/>
  <c r="H18" i="4"/>
  <c r="G18" i="4"/>
  <c r="D12" i="4"/>
  <c r="J6" i="2" s="1"/>
  <c r="G6" i="2"/>
  <c r="D6" i="2"/>
  <c r="A6" i="2"/>
  <c r="J4" i="2"/>
  <c r="G4" i="2"/>
  <c r="D4" i="2"/>
  <c r="A4" i="2"/>
  <c r="G42" i="1" l="1"/>
  <c r="B120" i="1"/>
  <c r="B117" i="1"/>
  <c r="A120" i="1"/>
  <c r="A117" i="1"/>
  <c r="I12" i="1"/>
  <c r="I31" i="1"/>
  <c r="I50" i="1"/>
  <c r="I18" i="1"/>
  <c r="I53" i="1"/>
  <c r="I25" i="1"/>
  <c r="I21" i="1"/>
  <c r="I32" i="1"/>
  <c r="I9" i="1"/>
  <c r="I54" i="1"/>
  <c r="I47" i="1"/>
  <c r="I15" i="1"/>
  <c r="I33" i="1"/>
  <c r="I57" i="1"/>
  <c r="I48" i="1"/>
  <c r="I19" i="1"/>
  <c r="I17" i="1"/>
  <c r="I41" i="1"/>
  <c r="I39" i="1"/>
  <c r="I44" i="1"/>
  <c r="I59" i="1"/>
  <c r="I36" i="1"/>
  <c r="I27" i="1"/>
  <c r="I28" i="1"/>
  <c r="I10" i="1"/>
  <c r="I56" i="1"/>
  <c r="I38" i="1"/>
  <c r="I55" i="1"/>
  <c r="I60" i="1"/>
  <c r="I30" i="1"/>
  <c r="I49" i="1"/>
  <c r="I26" i="1"/>
  <c r="I37" i="1"/>
  <c r="I40" i="1"/>
  <c r="I16" i="1"/>
  <c r="I13" i="1"/>
  <c r="I52" i="1"/>
  <c r="I42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23" i="1"/>
  <c r="I45" i="1"/>
  <c r="I43" i="1"/>
  <c r="I3" i="1"/>
  <c r="I6" i="1"/>
  <c r="I2" i="1"/>
  <c r="I5" i="1"/>
  <c r="I35" i="1"/>
  <c r="I46" i="1"/>
  <c r="I22" i="1"/>
  <c r="I11" i="1"/>
  <c r="I58" i="1"/>
  <c r="I20" i="1"/>
  <c r="I34" i="1"/>
  <c r="I7" i="1"/>
  <c r="I80" i="1"/>
  <c r="I81" i="1"/>
  <c r="I82" i="1"/>
  <c r="I83" i="1"/>
  <c r="I4" i="1"/>
  <c r="I29" i="1"/>
  <c r="I84" i="1"/>
  <c r="I85" i="1"/>
  <c r="I51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24" i="1"/>
  <c r="I102" i="1"/>
  <c r="I103" i="1"/>
  <c r="I104" i="1"/>
  <c r="I105" i="1"/>
  <c r="I106" i="1"/>
  <c r="I107" i="1"/>
  <c r="I108" i="1"/>
  <c r="I109" i="1"/>
  <c r="I8" i="1"/>
  <c r="I110" i="1"/>
  <c r="I14" i="1"/>
  <c r="H14" i="1"/>
  <c r="H12" i="1"/>
  <c r="H31" i="1"/>
  <c r="H50" i="1"/>
  <c r="H18" i="1"/>
  <c r="H53" i="1"/>
  <c r="H25" i="1"/>
  <c r="H21" i="1"/>
  <c r="H32" i="1"/>
  <c r="H9" i="1"/>
  <c r="H54" i="1"/>
  <c r="H47" i="1"/>
  <c r="H15" i="1"/>
  <c r="H33" i="1"/>
  <c r="H57" i="1"/>
  <c r="H48" i="1"/>
  <c r="H19" i="1"/>
  <c r="H17" i="1"/>
  <c r="H41" i="1"/>
  <c r="H39" i="1"/>
  <c r="H44" i="1"/>
  <c r="H59" i="1"/>
  <c r="H36" i="1"/>
  <c r="H27" i="1"/>
  <c r="H28" i="1"/>
  <c r="H10" i="1"/>
  <c r="H56" i="1"/>
  <c r="H38" i="1"/>
  <c r="H55" i="1"/>
  <c r="H60" i="1"/>
  <c r="H30" i="1"/>
  <c r="H49" i="1"/>
  <c r="H26" i="1"/>
  <c r="H37" i="1"/>
  <c r="H40" i="1"/>
  <c r="H16" i="1"/>
  <c r="H13" i="1"/>
  <c r="H52" i="1"/>
  <c r="H42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23" i="1"/>
  <c r="H45" i="1"/>
  <c r="H43" i="1"/>
  <c r="H3" i="1"/>
  <c r="H6" i="1"/>
  <c r="H2" i="1"/>
  <c r="H5" i="1"/>
  <c r="H35" i="1"/>
  <c r="H46" i="1"/>
  <c r="H22" i="1"/>
  <c r="H11" i="1"/>
  <c r="H58" i="1"/>
  <c r="H20" i="1"/>
  <c r="H34" i="1"/>
  <c r="H7" i="1"/>
  <c r="H80" i="1"/>
  <c r="H81" i="1"/>
  <c r="H82" i="1"/>
  <c r="H83" i="1"/>
  <c r="H4" i="1"/>
  <c r="H29" i="1"/>
  <c r="H84" i="1"/>
  <c r="H85" i="1"/>
  <c r="H51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24" i="1"/>
  <c r="H102" i="1"/>
  <c r="H103" i="1"/>
  <c r="H104" i="1"/>
  <c r="H105" i="1"/>
  <c r="H106" i="1"/>
  <c r="H107" i="1"/>
  <c r="H108" i="1"/>
  <c r="H109" i="1"/>
  <c r="H8" i="1"/>
  <c r="H110" i="1"/>
  <c r="G12" i="1"/>
  <c r="G31" i="1"/>
  <c r="G50" i="1"/>
  <c r="G18" i="1"/>
  <c r="G53" i="1"/>
  <c r="G25" i="1"/>
  <c r="G21" i="1"/>
  <c r="G32" i="1"/>
  <c r="G9" i="1"/>
  <c r="G54" i="1"/>
  <c r="G47" i="1"/>
  <c r="G15" i="1"/>
  <c r="G33" i="1"/>
  <c r="G57" i="1"/>
  <c r="G48" i="1"/>
  <c r="G19" i="1"/>
  <c r="G17" i="1"/>
  <c r="G41" i="1"/>
  <c r="G39" i="1"/>
  <c r="G44" i="1"/>
  <c r="G59" i="1"/>
  <c r="G36" i="1"/>
  <c r="G27" i="1"/>
  <c r="G28" i="1"/>
  <c r="G10" i="1"/>
  <c r="G56" i="1"/>
  <c r="G38" i="1"/>
  <c r="G55" i="1"/>
  <c r="G60" i="1"/>
  <c r="G30" i="1"/>
  <c r="G49" i="1"/>
  <c r="G26" i="1"/>
  <c r="G37" i="1"/>
  <c r="G40" i="1"/>
  <c r="G16" i="1"/>
  <c r="G13" i="1"/>
  <c r="G52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23" i="1"/>
  <c r="G45" i="1"/>
  <c r="G43" i="1"/>
  <c r="G3" i="1"/>
  <c r="G6" i="1"/>
  <c r="G2" i="1"/>
  <c r="G5" i="1"/>
  <c r="G35" i="1"/>
  <c r="G46" i="1"/>
  <c r="G22" i="1"/>
  <c r="G11" i="1"/>
  <c r="G58" i="1"/>
  <c r="G20" i="1"/>
  <c r="G34" i="1"/>
  <c r="G7" i="1"/>
  <c r="G80" i="1"/>
  <c r="G81" i="1"/>
  <c r="G82" i="1"/>
  <c r="G83" i="1"/>
  <c r="G4" i="1"/>
  <c r="G29" i="1"/>
  <c r="G84" i="1"/>
  <c r="G85" i="1"/>
  <c r="G51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24" i="1"/>
  <c r="G102" i="1"/>
  <c r="G103" i="1"/>
  <c r="G104" i="1"/>
  <c r="G105" i="1"/>
  <c r="G106" i="1"/>
  <c r="G107" i="1"/>
  <c r="G108" i="1"/>
  <c r="G109" i="1"/>
  <c r="G8" i="1"/>
  <c r="G110" i="1"/>
  <c r="G14" i="1"/>
</calcChain>
</file>

<file path=xl/sharedStrings.xml><?xml version="1.0" encoding="utf-8"?>
<sst xmlns="http://schemas.openxmlformats.org/spreadsheetml/2006/main" count="287" uniqueCount="169">
  <si>
    <t>Product</t>
  </si>
  <si>
    <t>Current price</t>
  </si>
  <si>
    <t>old price</t>
  </si>
  <si>
    <t>Discount</t>
  </si>
  <si>
    <t>Review</t>
  </si>
  <si>
    <t>115  Piece Set Of Multifunctional Precision Screwdrivers</t>
  </si>
  <si>
    <t>Metal Decorative Hooks Key Hangers Entryway Wall Hooks Towel Hooks - Home</t>
  </si>
  <si>
    <t>Portable Mini Cordless Car Vacuum Cleaner - Blue</t>
  </si>
  <si>
    <t>Weighing Scale Digital Bathroom Body Fat Scale USB-Black</t>
  </si>
  <si>
    <t>Portable Home Small Air Humidifier 3-Speed Fan - Green</t>
  </si>
  <si>
    <t>137 Pieces Cake Decorating Tool Set Baking Supplies</t>
  </si>
  <si>
    <t>Desk Foldable Fan Adjustable Fan Strong Wind 3 Gear Usb</t>
  </si>
  <si>
    <t>LASA FOLDING TABLE SERVING STAND</t>
  </si>
  <si>
    <t>13 In 1 Home Repair Tools Box Kit Set</t>
  </si>
  <si>
    <t>Genebre 115 In 1 Screwdriver Repairing Tool Set For IPhone Cellphone Hand Tool</t>
  </si>
  <si>
    <t>100 Pcs Crochet Hook Tool Set Knitting Hook Set With Box</t>
  </si>
  <si>
    <t>40cm Gold DIY Acrylic Wall Sticker Clock</t>
  </si>
  <si>
    <t>LASA Digital Thermometer And Hydrometer</t>
  </si>
  <si>
    <t>Multifunction Laser Level With Adjustment Tripod</t>
  </si>
  <si>
    <t>Anti-Skid Absorbent Insulation Coaster  For Home Office</t>
  </si>
  <si>
    <t>Peacock  Throw Pillow Cushion Case For Home Car</t>
  </si>
  <si>
    <t>LASA Aluminum Folding Truck Hand Cart - 68kg Max</t>
  </si>
  <si>
    <t>LED Wall Digital Alarm Clock Study Home 12 / 24H Clock Calendar</t>
  </si>
  <si>
    <t>3D Waterproof EVA Plastic Shower Curtain 1.8*2Mtrs</t>
  </si>
  <si>
    <t>3PCS Single Head Knitting Crochet Sweater Needle Set</t>
  </si>
  <si>
    <t>Foldable Overbed Table/Desk</t>
  </si>
  <si>
    <t>LASA 3 Tier Bamboo Shoe Bench Storage Shelf</t>
  </si>
  <si>
    <t>Electronic Digital Display Vernier Caliper</t>
  </si>
  <si>
    <t>Portable Wardrobe Nonwoven With 3 Hanging Rods And 6 Storage Shelves</t>
  </si>
  <si>
    <t>12 Litre Black Insulated Lunch Box</t>
  </si>
  <si>
    <t>52 Pieces Cake Decorating Tool Set Gift Kit Baking Supplies</t>
  </si>
  <si>
    <t>Exfoliate And Exfoliate Face Towel - Black</t>
  </si>
  <si>
    <t>12 Litre Insulated Lunch Box Grey</t>
  </si>
  <si>
    <t>53Pcs/Set Yarn Knitting Crochet Hooks With Bag - Fortune Cat</t>
  </si>
  <si>
    <t>53 Pieces/Set Yarn Knitting Crochet Hooks With Bag - Pansies</t>
  </si>
  <si>
    <t>Classic Black Cat Cotton Hemp Pillow Case For Home Car</t>
  </si>
  <si>
    <t>Punch-free Great Load Bearing Bathroom Storage Rack Wall Shelf-White</t>
  </si>
  <si>
    <t>LASA Stainless Steel Double Wall Mount Soap Dispenser - 500ml</t>
  </si>
  <si>
    <t>4M Float Switch Water Level Controller -Water Tank</t>
  </si>
  <si>
    <t>Modern Sofa Throw Pillow Cover-45x45cm-Blue&amp;Red</t>
  </si>
  <si>
    <t>Shower Cap Wide Elastic Band Cover Reusable Bashroom Cap</t>
  </si>
  <si>
    <t>Christmas Elk Fence Yard Lawn Decorations Cute For Holidays</t>
  </si>
  <si>
    <t>60W Hot Melt Glue Sprayer - Efficient And Stable Glue Dispensing</t>
  </si>
  <si>
    <t>Car Phone Charging Stand</t>
  </si>
  <si>
    <t>2pcs Solar Street Light Flood Light Outdoor</t>
  </si>
  <si>
    <t>Creative Owl Shape Keychain Black</t>
  </si>
  <si>
    <t>Brush &amp; Paintbrush Cleaning Tool Pink</t>
  </si>
  <si>
    <t>Pen Grips For Kids Pen Grip Posture Correction Tool For Kids</t>
  </si>
  <si>
    <t>Pilates Cloth Bag Waterproof Durable High Capacity Purple</t>
  </si>
  <si>
    <t>Multi-purpose Rice Drainage Basket And Fruit And Vegetable Drainage Sieve</t>
  </si>
  <si>
    <t>Cute Christmas Fence Garden Decorations For Holiday Home</t>
  </si>
  <si>
    <t>Simple Metal Dog Art Sculpture Decoration For Home Office</t>
  </si>
  <si>
    <t>Christmas Fence Garden Decorations Outdoor For Holiday Home</t>
  </si>
  <si>
    <t>Angle Measuring Tool Full Metal Multi Angle Measuring Tool</t>
  </si>
  <si>
    <t>12V 19500rpm Handheld Electric Angle Grinder Tool - UK - Yellow/Black</t>
  </si>
  <si>
    <t>5 Pieces/set Of Stainless Steel Induction Cooker Pots</t>
  </si>
  <si>
    <t>Mythco 120COB Solar Wall Ligt With Motion Sensor And Remote Control 3 Modes</t>
  </si>
  <si>
    <t>5-PCS Stainless Steel Cooking Pot Set With Steamed Slices</t>
  </si>
  <si>
    <t>120W Cordless Vacuum Cleaners Handheld Electric Vacuum Cleaner</t>
  </si>
  <si>
    <t>Intelligent  LED Body Sensor Wireless Lighting Night Light USB</t>
  </si>
  <si>
    <t>VIC Wireless Vacuum Cleaner Dual Use For Home And Car 120W High Power Powerful</t>
  </si>
  <si>
    <t>Artificial Potted Flowers Room Decorative Flowers (2 Pieces)</t>
  </si>
  <si>
    <t>380ML USB Rechargeable Portable Small Blenders And Juicers</t>
  </si>
  <si>
    <t>32PCS Portable Cordless Drill Set With Cyclic Battery Drive -26 Variable Speed</t>
  </si>
  <si>
    <t>Agapeon Toothbrush Holder And Toothpaste Dispenser</t>
  </si>
  <si>
    <t>Large Lazy Inflatable Sofa Chairs PVC Lounger Seat Bag</t>
  </si>
  <si>
    <t>Watercolour Gold Foil Textured Print Pillow Cover</t>
  </si>
  <si>
    <t>Wrought Iron Bathroom Shelf Wall Mounted Free Punch Toilet Rack</t>
  </si>
  <si>
    <t>2PCS/LOT Solar LED Outdoor Intelligent Light Controlled Wall Lamp</t>
  </si>
  <si>
    <t>3PCS Rotary Scraper Thermomix For Kitchen</t>
  </si>
  <si>
    <t>Cushion Silicone Butt Cushion Summer Ice Cushion Honeycomb Gel Cushion</t>
  </si>
  <si>
    <t>7PCS Silicone Thumb Knife Finger Protector Vegetable Harvesting Knife</t>
  </si>
  <si>
    <t>Bedroom Simple Floor Hanging Clothes Rack Single Pole Hat Rack - White</t>
  </si>
  <si>
    <t>5m Waterproof Spherical LED String Lights Outdoor Ball Chain Lights Party Lighting Decoration Adjustable</t>
  </si>
  <si>
    <t>2 Pairs Cowhide Split Leather Work Gloves.32â„‰ Or Above Welding Gloves</t>
  </si>
  <si>
    <t>Household Pineapple Peeler Peeler</t>
  </si>
  <si>
    <t>Office Chair Lumbar Back Support Spine Posture Correction Pillow Car Cushion</t>
  </si>
  <si>
    <t>Cartoon Car Decoration Cute Individuality For Car Home Desk</t>
  </si>
  <si>
    <t>Outdoor Portable Water Bottle With Medicine Box - 600ML - Black</t>
  </si>
  <si>
    <t>Wall-Mounted Toothbrush Toothpaste Holder With Multiple Slots</t>
  </si>
  <si>
    <t>Multifunctional Hanging Storage Box Storage Bag (4 Layers)</t>
  </si>
  <si>
    <t>Wall Clock With Hidden Safe Box</t>
  </si>
  <si>
    <t>Portable Wine Table With Folding Round Table</t>
  </si>
  <si>
    <t>Sewing Machine Needle Threader Stitch Insertion Tool Automatic Quick Sewing</t>
  </si>
  <si>
    <t>6 Layers Steel Pipe Assembling Dustproof Storage Shoe Cabinet</t>
  </si>
  <si>
    <t>2PCS Ice Silk Square Cushion Cover Pillowcases - 65x65cm</t>
  </si>
  <si>
    <t>Wall Mount Automatic Toothpaste Dispenser Toothbrush Holder Toothpaste Squeezer</t>
  </si>
  <si>
    <t>Portable Soap Dispenser Kitchen Detergent Press Box Kitchen Tools</t>
  </si>
  <si>
    <t>4 Piece Coloured Stainless Steel Kitchenware Set</t>
  </si>
  <si>
    <t>Metal Wall Clock Silver Dial Crystal Jewelry Round Home Decoration Wall Clock</t>
  </si>
  <si>
    <t>Baby Early Education Shape And Color Cognitive Training Toys</t>
  </si>
  <si>
    <t>8in1 Screwdriver With LED Light</t>
  </si>
  <si>
    <t>24 Grid Wall-mounted Sundries Organiser Fabric Closet Bag Storage Rack</t>
  </si>
  <si>
    <t>1PC Refrigerator Food Seal Pocket Fridge Bags</t>
  </si>
  <si>
    <t>LED Solar Street Light-fake Camera</t>
  </si>
  <si>
    <t>Cartoon Embroidered Mini Towel Bear Cotton Wash Cloth Hand 4pcs</t>
  </si>
  <si>
    <t>Shower Nozzle Cleaning Unclogging Needle Mini Crevice Small Hole Cleaning Brush</t>
  </si>
  <si>
    <t>Thickening Multipurpose Non Stick Easy To Clean Heat Resistant Spoon Pad</t>
  </si>
  <si>
    <t>6 In 1 Bottle Can Opener Multifunctional Easy Opener</t>
  </si>
  <si>
    <t>Wall-mounted Sticker Punch-free Plug Fixer</t>
  </si>
  <si>
    <t>Black Simple Water Cup Wine Coaster Anti Slip Absorbent</t>
  </si>
  <si>
    <t>MultiFunctional Storage Rack Multi-layer Booelf</t>
  </si>
  <si>
    <t>220V 60W Electric Soldering Iron Kits With Tools Tips And Multimeter</t>
  </si>
  <si>
    <t>4pcs Bathroom/Kitchen Towel RackRoll Paper HolderTowel BarsHook</t>
  </si>
  <si>
    <t>LED Romantic Spaceship Starry Sky ProjectorChildren's Bedroom Night Light-Blue</t>
  </si>
  <si>
    <t>LED Eye Protection  Desk Lamp  Study Reading USB Fan - Double Pen Holder</t>
  </si>
  <si>
    <t>DIY File Folder Office Drawer File Holder Pen Holder Desktop Storage Rack</t>
  </si>
  <si>
    <t>1/2/3 Seater Elastic Sofa CoverLiving Room/Home Decor Chair Cover-Grey</t>
  </si>
  <si>
    <t xml:space="preserve"> 1620 -  1980</t>
  </si>
  <si>
    <t xml:space="preserve"> 2200 -  3200</t>
  </si>
  <si>
    <t>Balloon Insert Birthday Party Balloon Set PU Leather</t>
  </si>
  <si>
    <t>7-piece Set Of Storage Bags Travel Storage Bags Shoe Bags</t>
  </si>
  <si>
    <t>Electric LED UV Mosquito Killer Lamp Outdoor/Indoor Fly Killer Trap Light -USB</t>
  </si>
  <si>
    <t>Memory Foam Neck Pillow Cover With Pillow Core - 50*30cm</t>
  </si>
  <si>
    <t>Konka Healty Electric Kettle 24-hour Heat Preservation1.5L800W White</t>
  </si>
  <si>
    <t>9pcs Gas Mask For Painting Dust Formaldehyde Grinding Polishing</t>
  </si>
  <si>
    <t>Absolute Discount</t>
  </si>
  <si>
    <t>Rating Category</t>
  </si>
  <si>
    <t>Discount % Category</t>
  </si>
  <si>
    <t>Average of Current price</t>
  </si>
  <si>
    <t>Average of old price</t>
  </si>
  <si>
    <t>Average of Discount</t>
  </si>
  <si>
    <t>Average of Ratingd</t>
  </si>
  <si>
    <t>Least Expensive</t>
  </si>
  <si>
    <t>Most expensive product</t>
  </si>
  <si>
    <t>Price</t>
  </si>
  <si>
    <t>Row Labels</t>
  </si>
  <si>
    <t>High Discount</t>
  </si>
  <si>
    <t>Low Discount</t>
  </si>
  <si>
    <t>Medium Discount</t>
  </si>
  <si>
    <t>Grand Total</t>
  </si>
  <si>
    <t>Average</t>
  </si>
  <si>
    <t>Poor</t>
  </si>
  <si>
    <t>Excellent</t>
  </si>
  <si>
    <t>Average discount percantage</t>
  </si>
  <si>
    <t>Average of rating</t>
  </si>
  <si>
    <t>Top 5 products with the highest rating</t>
  </si>
  <si>
    <t>Rating</t>
  </si>
  <si>
    <t>Bottom 5 products with the lowest rating</t>
  </si>
  <si>
    <t>Relationship between discount percentage and number of reviews</t>
  </si>
  <si>
    <t>Relationship between rating and number of reviews</t>
  </si>
  <si>
    <t xml:space="preserve"> Top 10 products with the highest discounts</t>
  </si>
  <si>
    <t>Top 10 products with the most reviews.</t>
  </si>
  <si>
    <t>product</t>
  </si>
  <si>
    <t>discount</t>
  </si>
  <si>
    <t>review</t>
  </si>
  <si>
    <t>Count of Discount % Category</t>
  </si>
  <si>
    <t>Average of Review</t>
  </si>
  <si>
    <t xml:space="preserve">performance comparison of products with high discounts versus low discounts </t>
  </si>
  <si>
    <t>PRODUCT PERFORMANCE DASHBOARD</t>
  </si>
  <si>
    <t>TOTAL PRODUCTS</t>
  </si>
  <si>
    <t>Count of Product</t>
  </si>
  <si>
    <t>Total Number of Product</t>
  </si>
  <si>
    <t>AVERAGE RATINGS</t>
  </si>
  <si>
    <t>AVERAGE DISCOUNTS</t>
  </si>
  <si>
    <t>TOTAL REVIEWS</t>
  </si>
  <si>
    <t>Sum of Review</t>
  </si>
  <si>
    <t>With Reviews</t>
  </si>
  <si>
    <t>Count of Rating Category</t>
  </si>
  <si>
    <t>PRODUCT PERFORMANCE TO 10 BY REVIEW</t>
  </si>
  <si>
    <t>No</t>
  </si>
  <si>
    <t>TREND ANALYSIS AND CATEGORY BREAKDOWN</t>
  </si>
  <si>
    <t>RATING CATEGORY DISTRIBUTION</t>
  </si>
  <si>
    <t>%DISCOUNTS VS REVIEWS</t>
  </si>
  <si>
    <t>RATINGS VS REVIEWS</t>
  </si>
  <si>
    <t>DISCOUNT CATEGORY DISTRIBUTION</t>
  </si>
  <si>
    <t>TOP 10 PRODUCTS BY DISCOUNT</t>
  </si>
  <si>
    <t>TOP 10 PRODUCTS BY RATING</t>
  </si>
  <si>
    <t>Interactive Analytics | E-commerce Insights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</si>
</sst>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3">
    <xf numFmtId="0" fontId="0" fillId="0" borderId="0" xfId="0"/>
    <xf numFmtId="0" fontId="16" fillId="0" borderId="0" xfId="0" applyFont="1"/>
    <xf numFmtId="0" fontId="16" fillId="0" borderId="10" xfId="0" applyFont="1" applyBorder="1"/>
    <xf numFmtId="0" fontId="0" fillId="0" borderId="10" xfId="0" applyBorder="1"/>
    <xf numFmtId="9" fontId="0" fillId="0" borderId="10" xfId="0" applyNumberFormat="1" applyBorder="1"/>
    <xf numFmtId="0" fontId="0" fillId="33" borderId="10" xfId="0" applyFill="1" applyBorder="1"/>
    <xf numFmtId="0" fontId="16" fillId="0" borderId="10" xfId="0" applyFont="1" applyBorder="1" applyAlignment="1">
      <alignment horizontal="right"/>
    </xf>
    <xf numFmtId="0" fontId="16" fillId="0" borderId="10" xfId="0" applyFont="1" applyBorder="1" applyAlignment="1">
      <alignment horizontal="left"/>
    </xf>
    <xf numFmtId="0" fontId="0" fillId="0" borderId="0" xfId="0" applyAlignment="1">
      <alignment horizontal="left"/>
    </xf>
    <xf numFmtId="164" fontId="0" fillId="0" borderId="10" xfId="0" applyNumberFormat="1" applyBorder="1"/>
    <xf numFmtId="164" fontId="0" fillId="33" borderId="10" xfId="0" applyNumberFormat="1" applyFill="1" applyBorder="1"/>
    <xf numFmtId="1" fontId="0" fillId="0" borderId="10" xfId="0" applyNumberFormat="1" applyBorder="1" applyAlignment="1">
      <alignment horizontal="right"/>
    </xf>
    <xf numFmtId="1" fontId="0" fillId="0" borderId="10" xfId="0" applyNumberFormat="1" applyBorder="1"/>
    <xf numFmtId="0" fontId="0" fillId="0" borderId="10" xfId="0" applyNumberFormat="1" applyBorder="1"/>
    <xf numFmtId="10" fontId="0" fillId="0" borderId="10" xfId="0" applyNumberFormat="1" applyBorder="1"/>
    <xf numFmtId="0" fontId="0" fillId="0" borderId="0" xfId="0" applyBorder="1"/>
    <xf numFmtId="0" fontId="16" fillId="0" borderId="10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6" fillId="0" borderId="10" xfId="0" applyFont="1" applyBorder="1" applyAlignment="1">
      <alignment horizontal="center"/>
    </xf>
    <xf numFmtId="0" fontId="0" fillId="0" borderId="10" xfId="0" pivotButton="1" applyBorder="1"/>
    <xf numFmtId="0" fontId="0" fillId="0" borderId="10" xfId="0" applyBorder="1" applyAlignment="1">
      <alignment horizontal="left"/>
    </xf>
    <xf numFmtId="0" fontId="0" fillId="0" borderId="0" xfId="0" applyAlignment="1">
      <alignment horizontal="center"/>
    </xf>
    <xf numFmtId="0" fontId="16" fillId="0" borderId="11" xfId="0" applyFont="1" applyBorder="1" applyAlignment="1">
      <alignment horizontal="center"/>
    </xf>
    <xf numFmtId="0" fontId="18" fillId="34" borderId="0" xfId="0" applyFont="1" applyFill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2" fontId="0" fillId="0" borderId="10" xfId="0" applyNumberFormat="1" applyBorder="1"/>
    <xf numFmtId="0" fontId="0" fillId="0" borderId="14" xfId="0" applyBorder="1"/>
    <xf numFmtId="0" fontId="16" fillId="0" borderId="15" xfId="0" applyFont="1" applyBorder="1" applyAlignment="1">
      <alignment horizontal="center"/>
    </xf>
    <xf numFmtId="0" fontId="16" fillId="0" borderId="16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2" fontId="0" fillId="0" borderId="17" xfId="0" applyNumberFormat="1" applyBorder="1" applyAlignment="1">
      <alignment horizontal="center"/>
    </xf>
    <xf numFmtId="10" fontId="0" fillId="0" borderId="17" xfId="0" applyNumberFormat="1" applyBorder="1" applyAlignment="1">
      <alignment horizontal="center"/>
    </xf>
    <xf numFmtId="0" fontId="16" fillId="0" borderId="15" xfId="0" applyFont="1" applyBorder="1"/>
    <xf numFmtId="0" fontId="0" fillId="0" borderId="16" xfId="0" applyBorder="1"/>
    <xf numFmtId="2" fontId="0" fillId="0" borderId="0" xfId="0" applyNumberFormat="1"/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2" fontId="0" fillId="0" borderId="21" xfId="0" applyNumberFormat="1" applyBorder="1" applyAlignment="1">
      <alignment horizontal="center"/>
    </xf>
    <xf numFmtId="2" fontId="0" fillId="0" borderId="22" xfId="0" applyNumberFormat="1" applyBorder="1" applyAlignment="1">
      <alignment horizontal="center"/>
    </xf>
    <xf numFmtId="2" fontId="0" fillId="0" borderId="21" xfId="0" applyNumberFormat="1" applyBorder="1" applyAlignment="1">
      <alignment horizontal="center" wrapText="1"/>
    </xf>
    <xf numFmtId="2" fontId="0" fillId="0" borderId="22" xfId="0" applyNumberFormat="1" applyBorder="1" applyAlignment="1">
      <alignment horizontal="center" wrapText="1"/>
    </xf>
    <xf numFmtId="0" fontId="16" fillId="0" borderId="0" xfId="0" applyFont="1" applyBorder="1"/>
    <xf numFmtId="164" fontId="0" fillId="0" borderId="0" xfId="0" applyNumberFormat="1" applyBorder="1"/>
    <xf numFmtId="0" fontId="0" fillId="0" borderId="23" xfId="0" applyBorder="1"/>
    <xf numFmtId="164" fontId="0" fillId="0" borderId="24" xfId="0" applyNumberFormat="1" applyBorder="1"/>
    <xf numFmtId="0" fontId="0" fillId="0" borderId="17" xfId="0" applyBorder="1"/>
    <xf numFmtId="0" fontId="0" fillId="0" borderId="25" xfId="0" applyBorder="1"/>
    <xf numFmtId="9" fontId="0" fillId="0" borderId="25" xfId="0" applyNumberFormat="1" applyBorder="1"/>
    <xf numFmtId="164" fontId="0" fillId="0" borderId="18" xfId="0" applyNumberFormat="1" applyBorder="1"/>
    <xf numFmtId="0" fontId="0" fillId="0" borderId="26" xfId="0" applyBorder="1"/>
    <xf numFmtId="9" fontId="0" fillId="0" borderId="14" xfId="0" applyNumberFormat="1" applyBorder="1"/>
    <xf numFmtId="164" fontId="0" fillId="0" borderId="27" xfId="0" applyNumberFormat="1" applyBorder="1"/>
    <xf numFmtId="0" fontId="16" fillId="0" borderId="28" xfId="0" applyFont="1" applyBorder="1"/>
    <xf numFmtId="0" fontId="16" fillId="0" borderId="29" xfId="0" applyFont="1" applyBorder="1"/>
    <xf numFmtId="0" fontId="16" fillId="0" borderId="30" xfId="0" applyFont="1" applyBorder="1"/>
    <xf numFmtId="0" fontId="16" fillId="0" borderId="0" xfId="0" applyFont="1" applyAlignment="1"/>
    <xf numFmtId="9" fontId="0" fillId="0" borderId="0" xfId="0" applyNumberFormat="1" applyBorder="1"/>
    <xf numFmtId="0" fontId="16" fillId="0" borderId="28" xfId="0" applyFont="1" applyBorder="1" applyAlignment="1">
      <alignment horizontal="center"/>
    </xf>
    <xf numFmtId="0" fontId="16" fillId="0" borderId="29" xfId="0" applyFont="1" applyBorder="1" applyAlignment="1">
      <alignment horizontal="center"/>
    </xf>
    <xf numFmtId="0" fontId="16" fillId="0" borderId="30" xfId="0" applyFont="1" applyBorder="1" applyAlignment="1">
      <alignment horizontal="center"/>
    </xf>
    <xf numFmtId="0" fontId="19" fillId="36" borderId="0" xfId="0" applyFont="1" applyFill="1" applyBorder="1" applyAlignment="1">
      <alignment horizontal="center"/>
    </xf>
    <xf numFmtId="0" fontId="0" fillId="35" borderId="0" xfId="0" applyFill="1"/>
    <xf numFmtId="0" fontId="16" fillId="0" borderId="31" xfId="0" applyFont="1" applyBorder="1" applyAlignment="1">
      <alignment horizontal="center"/>
    </xf>
    <xf numFmtId="0" fontId="16" fillId="0" borderId="32" xfId="0" applyFont="1" applyBorder="1" applyAlignment="1">
      <alignment horizontal="center"/>
    </xf>
    <xf numFmtId="0" fontId="16" fillId="0" borderId="33" xfId="0" applyFont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16" fillId="0" borderId="0" xfId="0" applyFont="1" applyBorder="1" applyAlignment="1"/>
    <xf numFmtId="0" fontId="16" fillId="0" borderId="12" xfId="0" applyFont="1" applyBorder="1" applyAlignment="1">
      <alignment horizontal="center"/>
    </xf>
    <xf numFmtId="0" fontId="16" fillId="0" borderId="13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5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numFmt numFmtId="2" formatCode="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'Excel_jumia_dataset (1)'!$E$1</c:f>
              <c:strCache>
                <c:ptCount val="1"/>
                <c:pt idx="0">
                  <c:v>Review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'Excel_jumia_dataset (1)'!$D$2:$D$110</c:f>
              <c:numCache>
                <c:formatCode>0%</c:formatCode>
                <c:ptCount val="109"/>
                <c:pt idx="0">
                  <c:v>0.53</c:v>
                </c:pt>
                <c:pt idx="1">
                  <c:v>0.51</c:v>
                </c:pt>
                <c:pt idx="2">
                  <c:v>0.49</c:v>
                </c:pt>
                <c:pt idx="3">
                  <c:v>0.49</c:v>
                </c:pt>
                <c:pt idx="4">
                  <c:v>0.46</c:v>
                </c:pt>
                <c:pt idx="5">
                  <c:v>0.4</c:v>
                </c:pt>
                <c:pt idx="6">
                  <c:v>0.21</c:v>
                </c:pt>
                <c:pt idx="7">
                  <c:v>0.55000000000000004</c:v>
                </c:pt>
                <c:pt idx="8">
                  <c:v>0.47</c:v>
                </c:pt>
                <c:pt idx="9">
                  <c:v>0.26</c:v>
                </c:pt>
                <c:pt idx="10">
                  <c:v>0.37</c:v>
                </c:pt>
                <c:pt idx="11">
                  <c:v>0.34</c:v>
                </c:pt>
                <c:pt idx="12">
                  <c:v>0.34</c:v>
                </c:pt>
                <c:pt idx="13">
                  <c:v>0.27</c:v>
                </c:pt>
                <c:pt idx="14">
                  <c:v>0.49</c:v>
                </c:pt>
                <c:pt idx="15">
                  <c:v>0.35</c:v>
                </c:pt>
                <c:pt idx="16">
                  <c:v>0.25</c:v>
                </c:pt>
                <c:pt idx="17">
                  <c:v>0.24</c:v>
                </c:pt>
                <c:pt idx="18">
                  <c:v>0.19</c:v>
                </c:pt>
                <c:pt idx="19">
                  <c:v>0.42</c:v>
                </c:pt>
                <c:pt idx="20">
                  <c:v>0.38</c:v>
                </c:pt>
                <c:pt idx="21">
                  <c:v>0.38</c:v>
                </c:pt>
                <c:pt idx="22">
                  <c:v>0.27</c:v>
                </c:pt>
                <c:pt idx="23">
                  <c:v>0.23</c:v>
                </c:pt>
                <c:pt idx="24">
                  <c:v>0.54</c:v>
                </c:pt>
                <c:pt idx="25">
                  <c:v>0.52</c:v>
                </c:pt>
                <c:pt idx="26">
                  <c:v>0.48</c:v>
                </c:pt>
                <c:pt idx="27">
                  <c:v>0.41</c:v>
                </c:pt>
                <c:pt idx="28">
                  <c:v>0.33</c:v>
                </c:pt>
                <c:pt idx="29">
                  <c:v>0.47</c:v>
                </c:pt>
                <c:pt idx="30">
                  <c:v>0.3</c:v>
                </c:pt>
                <c:pt idx="31">
                  <c:v>0.2</c:v>
                </c:pt>
                <c:pt idx="32">
                  <c:v>0.49</c:v>
                </c:pt>
                <c:pt idx="33">
                  <c:v>0.37</c:v>
                </c:pt>
                <c:pt idx="34">
                  <c:v>0.35</c:v>
                </c:pt>
                <c:pt idx="35">
                  <c:v>0.09</c:v>
                </c:pt>
                <c:pt idx="36">
                  <c:v>0.45</c:v>
                </c:pt>
                <c:pt idx="37">
                  <c:v>0.32</c:v>
                </c:pt>
                <c:pt idx="38">
                  <c:v>0.18</c:v>
                </c:pt>
                <c:pt idx="39">
                  <c:v>0.53</c:v>
                </c:pt>
                <c:pt idx="40">
                  <c:v>0.54</c:v>
                </c:pt>
                <c:pt idx="41">
                  <c:v>0.46</c:v>
                </c:pt>
                <c:pt idx="42">
                  <c:v>0.43</c:v>
                </c:pt>
                <c:pt idx="43">
                  <c:v>0.39</c:v>
                </c:pt>
                <c:pt idx="44">
                  <c:v>0.28999999999999998</c:v>
                </c:pt>
                <c:pt idx="45">
                  <c:v>0.22</c:v>
                </c:pt>
                <c:pt idx="46">
                  <c:v>0.49</c:v>
                </c:pt>
                <c:pt idx="47">
                  <c:v>0.52</c:v>
                </c:pt>
                <c:pt idx="48">
                  <c:v>0.45</c:v>
                </c:pt>
                <c:pt idx="49">
                  <c:v>0.13</c:v>
                </c:pt>
                <c:pt idx="50">
                  <c:v>0.5</c:v>
                </c:pt>
                <c:pt idx="51">
                  <c:v>0.43</c:v>
                </c:pt>
                <c:pt idx="52">
                  <c:v>0.47</c:v>
                </c:pt>
                <c:pt idx="53">
                  <c:v>0.45</c:v>
                </c:pt>
                <c:pt idx="54">
                  <c:v>0.55000000000000004</c:v>
                </c:pt>
                <c:pt idx="55">
                  <c:v>0.47</c:v>
                </c:pt>
                <c:pt idx="56">
                  <c:v>0.5</c:v>
                </c:pt>
                <c:pt idx="57">
                  <c:v>0.64</c:v>
                </c:pt>
                <c:pt idx="58">
                  <c:v>0.61</c:v>
                </c:pt>
                <c:pt idx="59">
                  <c:v>0.5</c:v>
                </c:pt>
                <c:pt idx="60">
                  <c:v>0.5</c:v>
                </c:pt>
                <c:pt idx="61">
                  <c:v>0.5</c:v>
                </c:pt>
                <c:pt idx="62">
                  <c:v>0.5</c:v>
                </c:pt>
                <c:pt idx="63">
                  <c:v>0.5</c:v>
                </c:pt>
                <c:pt idx="64">
                  <c:v>0.49</c:v>
                </c:pt>
                <c:pt idx="65">
                  <c:v>0.49</c:v>
                </c:pt>
                <c:pt idx="66">
                  <c:v>0.49</c:v>
                </c:pt>
                <c:pt idx="67">
                  <c:v>0.49</c:v>
                </c:pt>
                <c:pt idx="68">
                  <c:v>0.49</c:v>
                </c:pt>
                <c:pt idx="69">
                  <c:v>0.49</c:v>
                </c:pt>
                <c:pt idx="70">
                  <c:v>0.49</c:v>
                </c:pt>
                <c:pt idx="71">
                  <c:v>0.48</c:v>
                </c:pt>
                <c:pt idx="72">
                  <c:v>0.48</c:v>
                </c:pt>
                <c:pt idx="73">
                  <c:v>0.48</c:v>
                </c:pt>
                <c:pt idx="74">
                  <c:v>0.47</c:v>
                </c:pt>
                <c:pt idx="75">
                  <c:v>0.47</c:v>
                </c:pt>
                <c:pt idx="76">
                  <c:v>0.47</c:v>
                </c:pt>
                <c:pt idx="77">
                  <c:v>0.46</c:v>
                </c:pt>
                <c:pt idx="78">
                  <c:v>0.45</c:v>
                </c:pt>
                <c:pt idx="79">
                  <c:v>0.43</c:v>
                </c:pt>
                <c:pt idx="80">
                  <c:v>0.43</c:v>
                </c:pt>
                <c:pt idx="81">
                  <c:v>0.42</c:v>
                </c:pt>
                <c:pt idx="82">
                  <c:v>0.42</c:v>
                </c:pt>
                <c:pt idx="83">
                  <c:v>0.42</c:v>
                </c:pt>
                <c:pt idx="84">
                  <c:v>0.41</c:v>
                </c:pt>
                <c:pt idx="85">
                  <c:v>0.41</c:v>
                </c:pt>
                <c:pt idx="86">
                  <c:v>0.38</c:v>
                </c:pt>
                <c:pt idx="87">
                  <c:v>0.38</c:v>
                </c:pt>
                <c:pt idx="88">
                  <c:v>0.36</c:v>
                </c:pt>
                <c:pt idx="89">
                  <c:v>0.34</c:v>
                </c:pt>
                <c:pt idx="90">
                  <c:v>0.34</c:v>
                </c:pt>
                <c:pt idx="91">
                  <c:v>0.33</c:v>
                </c:pt>
                <c:pt idx="92">
                  <c:v>0.27</c:v>
                </c:pt>
                <c:pt idx="93">
                  <c:v>0.24</c:v>
                </c:pt>
                <c:pt idx="94">
                  <c:v>0.22</c:v>
                </c:pt>
                <c:pt idx="95">
                  <c:v>0.14000000000000001</c:v>
                </c:pt>
                <c:pt idx="96">
                  <c:v>0.14000000000000001</c:v>
                </c:pt>
                <c:pt idx="97">
                  <c:v>0.11</c:v>
                </c:pt>
                <c:pt idx="98">
                  <c:v>0.08</c:v>
                </c:pt>
                <c:pt idx="99">
                  <c:v>0.04</c:v>
                </c:pt>
                <c:pt idx="100">
                  <c:v>0.04</c:v>
                </c:pt>
                <c:pt idx="101">
                  <c:v>0.03</c:v>
                </c:pt>
                <c:pt idx="102">
                  <c:v>0.02</c:v>
                </c:pt>
                <c:pt idx="103">
                  <c:v>0.02</c:v>
                </c:pt>
                <c:pt idx="104">
                  <c:v>0.02</c:v>
                </c:pt>
                <c:pt idx="105">
                  <c:v>0.02</c:v>
                </c:pt>
                <c:pt idx="106">
                  <c:v>0.02</c:v>
                </c:pt>
                <c:pt idx="107">
                  <c:v>0.02</c:v>
                </c:pt>
                <c:pt idx="108">
                  <c:v>0.01</c:v>
                </c:pt>
              </c:numCache>
            </c:numRef>
          </c:xVal>
          <c:yVal>
            <c:numRef>
              <c:f>'Excel_jumia_dataset (1)'!$E$2:$E$110</c:f>
              <c:numCache>
                <c:formatCode>General</c:formatCode>
                <c:ptCount val="109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5</c:v>
                </c:pt>
                <c:pt idx="8">
                  <c:v>12</c:v>
                </c:pt>
                <c:pt idx="9">
                  <c:v>5</c:v>
                </c:pt>
                <c:pt idx="10">
                  <c:v>7</c:v>
                </c:pt>
                <c:pt idx="11">
                  <c:v>39</c:v>
                </c:pt>
                <c:pt idx="12">
                  <c:v>12</c:v>
                </c:pt>
                <c:pt idx="13">
                  <c:v>20</c:v>
                </c:pt>
                <c:pt idx="14">
                  <c:v>44</c:v>
                </c:pt>
                <c:pt idx="15">
                  <c:v>49</c:v>
                </c:pt>
                <c:pt idx="16">
                  <c:v>24</c:v>
                </c:pt>
                <c:pt idx="17">
                  <c:v>55</c:v>
                </c:pt>
                <c:pt idx="18">
                  <c:v>5</c:v>
                </c:pt>
                <c:pt idx="19">
                  <c:v>6</c:v>
                </c:pt>
                <c:pt idx="20">
                  <c:v>2</c:v>
                </c:pt>
                <c:pt idx="21">
                  <c:v>2</c:v>
                </c:pt>
                <c:pt idx="22">
                  <c:v>32</c:v>
                </c:pt>
                <c:pt idx="23">
                  <c:v>14</c:v>
                </c:pt>
                <c:pt idx="24">
                  <c:v>7</c:v>
                </c:pt>
                <c:pt idx="25">
                  <c:v>9</c:v>
                </c:pt>
                <c:pt idx="26">
                  <c:v>9</c:v>
                </c:pt>
                <c:pt idx="27">
                  <c:v>36</c:v>
                </c:pt>
                <c:pt idx="28">
                  <c:v>9</c:v>
                </c:pt>
                <c:pt idx="29">
                  <c:v>14</c:v>
                </c:pt>
                <c:pt idx="30">
                  <c:v>20</c:v>
                </c:pt>
                <c:pt idx="31">
                  <c:v>12</c:v>
                </c:pt>
                <c:pt idx="32">
                  <c:v>1</c:v>
                </c:pt>
                <c:pt idx="33">
                  <c:v>2</c:v>
                </c:pt>
                <c:pt idx="34">
                  <c:v>6</c:v>
                </c:pt>
                <c:pt idx="35">
                  <c:v>15</c:v>
                </c:pt>
                <c:pt idx="36">
                  <c:v>5</c:v>
                </c:pt>
                <c:pt idx="37">
                  <c:v>13</c:v>
                </c:pt>
                <c:pt idx="38">
                  <c:v>12</c:v>
                </c:pt>
                <c:pt idx="39">
                  <c:v>13</c:v>
                </c:pt>
                <c:pt idx="40">
                  <c:v>10</c:v>
                </c:pt>
                <c:pt idx="41">
                  <c:v>1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16</c:v>
                </c:pt>
                <c:pt idx="46">
                  <c:v>69</c:v>
                </c:pt>
                <c:pt idx="47">
                  <c:v>15</c:v>
                </c:pt>
                <c:pt idx="48">
                  <c:v>17</c:v>
                </c:pt>
                <c:pt idx="49">
                  <c:v>6</c:v>
                </c:pt>
                <c:pt idx="50">
                  <c:v>7</c:v>
                </c:pt>
                <c:pt idx="51">
                  <c:v>6</c:v>
                </c:pt>
                <c:pt idx="52">
                  <c:v>6</c:v>
                </c:pt>
                <c:pt idx="53">
                  <c:v>6</c:v>
                </c:pt>
                <c:pt idx="54">
                  <c:v>5</c:v>
                </c:pt>
                <c:pt idx="55">
                  <c:v>7</c:v>
                </c:pt>
                <c:pt idx="5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9F-4875-9C4B-70608A69C5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3910799"/>
        <c:axId val="553904143"/>
      </c:scatterChart>
      <c:valAx>
        <c:axId val="553910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904143"/>
        <c:crosses val="autoZero"/>
        <c:crossBetween val="midCat"/>
      </c:valAx>
      <c:valAx>
        <c:axId val="553904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910799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'Excel_jumia_dataset (1)'!$F$1</c:f>
              <c:strCache>
                <c:ptCount val="1"/>
                <c:pt idx="0">
                  <c:v>Rating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'Excel_jumia_dataset (1)'!$E$2:$E$110</c:f>
              <c:numCache>
                <c:formatCode>General</c:formatCode>
                <c:ptCount val="109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5</c:v>
                </c:pt>
                <c:pt idx="8">
                  <c:v>12</c:v>
                </c:pt>
                <c:pt idx="9">
                  <c:v>5</c:v>
                </c:pt>
                <c:pt idx="10">
                  <c:v>7</c:v>
                </c:pt>
                <c:pt idx="11">
                  <c:v>39</c:v>
                </c:pt>
                <c:pt idx="12">
                  <c:v>12</c:v>
                </c:pt>
                <c:pt idx="13">
                  <c:v>20</c:v>
                </c:pt>
                <c:pt idx="14">
                  <c:v>44</c:v>
                </c:pt>
                <c:pt idx="15">
                  <c:v>49</c:v>
                </c:pt>
                <c:pt idx="16">
                  <c:v>24</c:v>
                </c:pt>
                <c:pt idx="17">
                  <c:v>55</c:v>
                </c:pt>
                <c:pt idx="18">
                  <c:v>5</c:v>
                </c:pt>
                <c:pt idx="19">
                  <c:v>6</c:v>
                </c:pt>
                <c:pt idx="20">
                  <c:v>2</c:v>
                </c:pt>
                <c:pt idx="21">
                  <c:v>2</c:v>
                </c:pt>
                <c:pt idx="22">
                  <c:v>32</c:v>
                </c:pt>
                <c:pt idx="23">
                  <c:v>14</c:v>
                </c:pt>
                <c:pt idx="24">
                  <c:v>7</c:v>
                </c:pt>
                <c:pt idx="25">
                  <c:v>9</c:v>
                </c:pt>
                <c:pt idx="26">
                  <c:v>9</c:v>
                </c:pt>
                <c:pt idx="27">
                  <c:v>36</c:v>
                </c:pt>
                <c:pt idx="28">
                  <c:v>9</c:v>
                </c:pt>
                <c:pt idx="29">
                  <c:v>14</c:v>
                </c:pt>
                <c:pt idx="30">
                  <c:v>20</c:v>
                </c:pt>
                <c:pt idx="31">
                  <c:v>12</c:v>
                </c:pt>
                <c:pt idx="32">
                  <c:v>1</c:v>
                </c:pt>
                <c:pt idx="33">
                  <c:v>2</c:v>
                </c:pt>
                <c:pt idx="34">
                  <c:v>6</c:v>
                </c:pt>
                <c:pt idx="35">
                  <c:v>15</c:v>
                </c:pt>
                <c:pt idx="36">
                  <c:v>5</c:v>
                </c:pt>
                <c:pt idx="37">
                  <c:v>13</c:v>
                </c:pt>
                <c:pt idx="38">
                  <c:v>12</c:v>
                </c:pt>
                <c:pt idx="39">
                  <c:v>13</c:v>
                </c:pt>
                <c:pt idx="40">
                  <c:v>10</c:v>
                </c:pt>
                <c:pt idx="41">
                  <c:v>1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16</c:v>
                </c:pt>
                <c:pt idx="46">
                  <c:v>69</c:v>
                </c:pt>
                <c:pt idx="47">
                  <c:v>15</c:v>
                </c:pt>
                <c:pt idx="48">
                  <c:v>17</c:v>
                </c:pt>
                <c:pt idx="49">
                  <c:v>6</c:v>
                </c:pt>
                <c:pt idx="50">
                  <c:v>7</c:v>
                </c:pt>
                <c:pt idx="51">
                  <c:v>6</c:v>
                </c:pt>
                <c:pt idx="52">
                  <c:v>6</c:v>
                </c:pt>
                <c:pt idx="53">
                  <c:v>6</c:v>
                </c:pt>
                <c:pt idx="54">
                  <c:v>5</c:v>
                </c:pt>
                <c:pt idx="55">
                  <c:v>7</c:v>
                </c:pt>
                <c:pt idx="56">
                  <c:v>1</c:v>
                </c:pt>
              </c:numCache>
            </c:numRef>
          </c:xVal>
          <c:yVal>
            <c:numRef>
              <c:f>'Excel_jumia_dataset (1)'!$F$2:$F$110</c:f>
              <c:numCache>
                <c:formatCode>0.0</c:formatCode>
                <c:ptCount val="109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4.8</c:v>
                </c:pt>
                <c:pt idx="8">
                  <c:v>4.8</c:v>
                </c:pt>
                <c:pt idx="9">
                  <c:v>4.8</c:v>
                </c:pt>
                <c:pt idx="10">
                  <c:v>4.7</c:v>
                </c:pt>
                <c:pt idx="11">
                  <c:v>4.7</c:v>
                </c:pt>
                <c:pt idx="12">
                  <c:v>4.7</c:v>
                </c:pt>
                <c:pt idx="13">
                  <c:v>4.7</c:v>
                </c:pt>
                <c:pt idx="14">
                  <c:v>4.5999999999999996</c:v>
                </c:pt>
                <c:pt idx="15">
                  <c:v>4.5999999999999996</c:v>
                </c:pt>
                <c:pt idx="16">
                  <c:v>4.5999999999999996</c:v>
                </c:pt>
                <c:pt idx="17">
                  <c:v>4.5999999999999996</c:v>
                </c:pt>
                <c:pt idx="18">
                  <c:v>4.5999999999999996</c:v>
                </c:pt>
                <c:pt idx="19">
                  <c:v>4.5</c:v>
                </c:pt>
                <c:pt idx="20">
                  <c:v>4.5</c:v>
                </c:pt>
                <c:pt idx="21">
                  <c:v>4.5</c:v>
                </c:pt>
                <c:pt idx="22">
                  <c:v>4.5</c:v>
                </c:pt>
                <c:pt idx="23">
                  <c:v>4.4000000000000004</c:v>
                </c:pt>
                <c:pt idx="24">
                  <c:v>4.3</c:v>
                </c:pt>
                <c:pt idx="25">
                  <c:v>4.3</c:v>
                </c:pt>
                <c:pt idx="26">
                  <c:v>4.3</c:v>
                </c:pt>
                <c:pt idx="27">
                  <c:v>4.3</c:v>
                </c:pt>
                <c:pt idx="28">
                  <c:v>4.2</c:v>
                </c:pt>
                <c:pt idx="29">
                  <c:v>4.0999999999999996</c:v>
                </c:pt>
                <c:pt idx="30">
                  <c:v>4.0999999999999996</c:v>
                </c:pt>
                <c:pt idx="31">
                  <c:v>4.0999999999999996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3.8</c:v>
                </c:pt>
                <c:pt idx="37">
                  <c:v>3.8</c:v>
                </c:pt>
                <c:pt idx="38">
                  <c:v>3.8</c:v>
                </c:pt>
                <c:pt idx="39">
                  <c:v>3.3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2.9</c:v>
                </c:pt>
                <c:pt idx="46">
                  <c:v>2.8</c:v>
                </c:pt>
                <c:pt idx="47">
                  <c:v>2.7</c:v>
                </c:pt>
                <c:pt idx="48">
                  <c:v>2.6</c:v>
                </c:pt>
                <c:pt idx="49">
                  <c:v>2.5</c:v>
                </c:pt>
                <c:pt idx="50">
                  <c:v>2.2999999999999998</c:v>
                </c:pt>
                <c:pt idx="51">
                  <c:v>2.2999999999999998</c:v>
                </c:pt>
                <c:pt idx="52">
                  <c:v>2.2000000000000002</c:v>
                </c:pt>
                <c:pt idx="53">
                  <c:v>2.2000000000000002</c:v>
                </c:pt>
                <c:pt idx="54">
                  <c:v>2.1</c:v>
                </c:pt>
                <c:pt idx="55">
                  <c:v>2.1</c:v>
                </c:pt>
                <c:pt idx="56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21-440A-BB1E-270789401A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6818127"/>
        <c:axId val="706828527"/>
      </c:scatterChart>
      <c:valAx>
        <c:axId val="706818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828527"/>
        <c:crosses val="autoZero"/>
        <c:crossBetween val="midCat"/>
      </c:valAx>
      <c:valAx>
        <c:axId val="706828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8181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Dashboard!$R$4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Dashboard!$P$5:$P$14</c:f>
              <c:numCache>
                <c:formatCode>General</c:formatCode>
                <c:ptCount val="10"/>
              </c:numCache>
            </c:numRef>
          </c:cat>
          <c:val>
            <c:numRef>
              <c:f>Dashboard!$R$5:$R$14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0-50D9-46EE-88B6-E33AD60F6B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41515552"/>
        <c:axId val="1541526368"/>
      </c:barChart>
      <c:catAx>
        <c:axId val="15415155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1526368"/>
        <c:crosses val="autoZero"/>
        <c:auto val="1"/>
        <c:lblAlgn val="ctr"/>
        <c:lblOffset val="100"/>
        <c:noMultiLvlLbl val="0"/>
      </c:catAx>
      <c:valAx>
        <c:axId val="1541526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1515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[Excel_jumia_dataset (1).xlsx]Pivots!PivotTable9</c:name>
    <c:fmtId val="7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Pivots!$E$2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2A7-4178-B7CD-A31E64699FF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2A7-4178-B7CD-A31E64699FF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2A7-4178-B7CD-A31E64699FF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2A7-4178-B7CD-A31E64699FFE}"/>
              </c:ext>
            </c:extLst>
          </c:dPt>
          <c:cat>
            <c:strRef>
              <c:f>Pivots!$D$3:$D$7</c:f>
              <c:strCache>
                <c:ptCount val="4"/>
                <c:pt idx="1">
                  <c:v>Average</c:v>
                </c:pt>
                <c:pt idx="2">
                  <c:v>Excellent</c:v>
                </c:pt>
                <c:pt idx="3">
                  <c:v>Poor</c:v>
                </c:pt>
              </c:strCache>
            </c:strRef>
          </c:cat>
          <c:val>
            <c:numRef>
              <c:f>Pivots!$E$3:$E$7</c:f>
              <c:numCache>
                <c:formatCode>0.00</c:formatCode>
                <c:ptCount val="4"/>
                <c:pt idx="0">
                  <c:v>52</c:v>
                </c:pt>
                <c:pt idx="1">
                  <c:v>22</c:v>
                </c:pt>
                <c:pt idx="2">
                  <c:v>23</c:v>
                </c:pt>
                <c:pt idx="3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2A7-4178-B7CD-A31E64699F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'Excel_jumia_dataset (1)'!$D$1</c:f>
              <c:strCache>
                <c:ptCount val="1"/>
                <c:pt idx="0">
                  <c:v>Discount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'Excel_jumia_dataset (1)'!$D$2:$D$110</c:f>
              <c:numCache>
                <c:formatCode>0%</c:formatCode>
                <c:ptCount val="109"/>
                <c:pt idx="0">
                  <c:v>0.53</c:v>
                </c:pt>
                <c:pt idx="1">
                  <c:v>0.51</c:v>
                </c:pt>
                <c:pt idx="2">
                  <c:v>0.49</c:v>
                </c:pt>
                <c:pt idx="3">
                  <c:v>0.49</c:v>
                </c:pt>
                <c:pt idx="4">
                  <c:v>0.46</c:v>
                </c:pt>
                <c:pt idx="5">
                  <c:v>0.4</c:v>
                </c:pt>
                <c:pt idx="6">
                  <c:v>0.21</c:v>
                </c:pt>
                <c:pt idx="7">
                  <c:v>0.55000000000000004</c:v>
                </c:pt>
                <c:pt idx="8">
                  <c:v>0.47</c:v>
                </c:pt>
                <c:pt idx="9">
                  <c:v>0.26</c:v>
                </c:pt>
                <c:pt idx="10">
                  <c:v>0.37</c:v>
                </c:pt>
                <c:pt idx="11">
                  <c:v>0.34</c:v>
                </c:pt>
                <c:pt idx="12">
                  <c:v>0.34</c:v>
                </c:pt>
                <c:pt idx="13">
                  <c:v>0.27</c:v>
                </c:pt>
                <c:pt idx="14">
                  <c:v>0.49</c:v>
                </c:pt>
                <c:pt idx="15">
                  <c:v>0.35</c:v>
                </c:pt>
                <c:pt idx="16">
                  <c:v>0.25</c:v>
                </c:pt>
                <c:pt idx="17">
                  <c:v>0.24</c:v>
                </c:pt>
                <c:pt idx="18">
                  <c:v>0.19</c:v>
                </c:pt>
                <c:pt idx="19">
                  <c:v>0.42</c:v>
                </c:pt>
                <c:pt idx="20">
                  <c:v>0.38</c:v>
                </c:pt>
                <c:pt idx="21">
                  <c:v>0.38</c:v>
                </c:pt>
                <c:pt idx="22">
                  <c:v>0.27</c:v>
                </c:pt>
                <c:pt idx="23">
                  <c:v>0.23</c:v>
                </c:pt>
                <c:pt idx="24">
                  <c:v>0.54</c:v>
                </c:pt>
                <c:pt idx="25">
                  <c:v>0.52</c:v>
                </c:pt>
                <c:pt idx="26">
                  <c:v>0.48</c:v>
                </c:pt>
                <c:pt idx="27">
                  <c:v>0.41</c:v>
                </c:pt>
                <c:pt idx="28">
                  <c:v>0.33</c:v>
                </c:pt>
                <c:pt idx="29">
                  <c:v>0.47</c:v>
                </c:pt>
                <c:pt idx="30">
                  <c:v>0.3</c:v>
                </c:pt>
                <c:pt idx="31">
                  <c:v>0.2</c:v>
                </c:pt>
                <c:pt idx="32">
                  <c:v>0.49</c:v>
                </c:pt>
                <c:pt idx="33">
                  <c:v>0.37</c:v>
                </c:pt>
                <c:pt idx="34">
                  <c:v>0.35</c:v>
                </c:pt>
                <c:pt idx="35">
                  <c:v>0.09</c:v>
                </c:pt>
                <c:pt idx="36">
                  <c:v>0.45</c:v>
                </c:pt>
                <c:pt idx="37">
                  <c:v>0.32</c:v>
                </c:pt>
                <c:pt idx="38">
                  <c:v>0.18</c:v>
                </c:pt>
                <c:pt idx="39">
                  <c:v>0.53</c:v>
                </c:pt>
                <c:pt idx="40">
                  <c:v>0.54</c:v>
                </c:pt>
                <c:pt idx="41">
                  <c:v>0.46</c:v>
                </c:pt>
                <c:pt idx="42">
                  <c:v>0.43</c:v>
                </c:pt>
                <c:pt idx="43">
                  <c:v>0.39</c:v>
                </c:pt>
                <c:pt idx="44">
                  <c:v>0.28999999999999998</c:v>
                </c:pt>
                <c:pt idx="45">
                  <c:v>0.22</c:v>
                </c:pt>
                <c:pt idx="46">
                  <c:v>0.49</c:v>
                </c:pt>
                <c:pt idx="47">
                  <c:v>0.52</c:v>
                </c:pt>
                <c:pt idx="48">
                  <c:v>0.45</c:v>
                </c:pt>
                <c:pt idx="49">
                  <c:v>0.13</c:v>
                </c:pt>
                <c:pt idx="50">
                  <c:v>0.5</c:v>
                </c:pt>
                <c:pt idx="51">
                  <c:v>0.43</c:v>
                </c:pt>
                <c:pt idx="52">
                  <c:v>0.47</c:v>
                </c:pt>
                <c:pt idx="53">
                  <c:v>0.45</c:v>
                </c:pt>
                <c:pt idx="54">
                  <c:v>0.55000000000000004</c:v>
                </c:pt>
                <c:pt idx="55">
                  <c:v>0.47</c:v>
                </c:pt>
                <c:pt idx="56">
                  <c:v>0.5</c:v>
                </c:pt>
                <c:pt idx="57">
                  <c:v>0.64</c:v>
                </c:pt>
                <c:pt idx="58">
                  <c:v>0.61</c:v>
                </c:pt>
                <c:pt idx="59">
                  <c:v>0.5</c:v>
                </c:pt>
                <c:pt idx="60">
                  <c:v>0.5</c:v>
                </c:pt>
                <c:pt idx="61">
                  <c:v>0.5</c:v>
                </c:pt>
                <c:pt idx="62">
                  <c:v>0.5</c:v>
                </c:pt>
                <c:pt idx="63">
                  <c:v>0.5</c:v>
                </c:pt>
                <c:pt idx="64">
                  <c:v>0.49</c:v>
                </c:pt>
                <c:pt idx="65">
                  <c:v>0.49</c:v>
                </c:pt>
                <c:pt idx="66">
                  <c:v>0.49</c:v>
                </c:pt>
                <c:pt idx="67">
                  <c:v>0.49</c:v>
                </c:pt>
                <c:pt idx="68">
                  <c:v>0.49</c:v>
                </c:pt>
                <c:pt idx="69">
                  <c:v>0.49</c:v>
                </c:pt>
                <c:pt idx="70">
                  <c:v>0.49</c:v>
                </c:pt>
                <c:pt idx="71">
                  <c:v>0.48</c:v>
                </c:pt>
                <c:pt idx="72">
                  <c:v>0.48</c:v>
                </c:pt>
                <c:pt idx="73">
                  <c:v>0.48</c:v>
                </c:pt>
                <c:pt idx="74">
                  <c:v>0.47</c:v>
                </c:pt>
                <c:pt idx="75">
                  <c:v>0.47</c:v>
                </c:pt>
                <c:pt idx="76">
                  <c:v>0.47</c:v>
                </c:pt>
                <c:pt idx="77">
                  <c:v>0.46</c:v>
                </c:pt>
                <c:pt idx="78">
                  <c:v>0.45</c:v>
                </c:pt>
                <c:pt idx="79">
                  <c:v>0.43</c:v>
                </c:pt>
                <c:pt idx="80">
                  <c:v>0.43</c:v>
                </c:pt>
                <c:pt idx="81">
                  <c:v>0.42</c:v>
                </c:pt>
                <c:pt idx="82">
                  <c:v>0.42</c:v>
                </c:pt>
                <c:pt idx="83">
                  <c:v>0.42</c:v>
                </c:pt>
                <c:pt idx="84">
                  <c:v>0.41</c:v>
                </c:pt>
                <c:pt idx="85">
                  <c:v>0.41</c:v>
                </c:pt>
                <c:pt idx="86">
                  <c:v>0.38</c:v>
                </c:pt>
                <c:pt idx="87">
                  <c:v>0.38</c:v>
                </c:pt>
                <c:pt idx="88">
                  <c:v>0.36</c:v>
                </c:pt>
                <c:pt idx="89">
                  <c:v>0.34</c:v>
                </c:pt>
                <c:pt idx="90">
                  <c:v>0.34</c:v>
                </c:pt>
                <c:pt idx="91">
                  <c:v>0.33</c:v>
                </c:pt>
                <c:pt idx="92">
                  <c:v>0.27</c:v>
                </c:pt>
                <c:pt idx="93">
                  <c:v>0.24</c:v>
                </c:pt>
                <c:pt idx="94">
                  <c:v>0.22</c:v>
                </c:pt>
                <c:pt idx="95">
                  <c:v>0.14000000000000001</c:v>
                </c:pt>
                <c:pt idx="96">
                  <c:v>0.14000000000000001</c:v>
                </c:pt>
                <c:pt idx="97">
                  <c:v>0.11</c:v>
                </c:pt>
                <c:pt idx="98">
                  <c:v>0.08</c:v>
                </c:pt>
                <c:pt idx="99">
                  <c:v>0.04</c:v>
                </c:pt>
                <c:pt idx="100">
                  <c:v>0.04</c:v>
                </c:pt>
                <c:pt idx="101">
                  <c:v>0.03</c:v>
                </c:pt>
                <c:pt idx="102">
                  <c:v>0.02</c:v>
                </c:pt>
                <c:pt idx="103">
                  <c:v>0.02</c:v>
                </c:pt>
                <c:pt idx="104">
                  <c:v>0.02</c:v>
                </c:pt>
                <c:pt idx="105">
                  <c:v>0.02</c:v>
                </c:pt>
                <c:pt idx="106">
                  <c:v>0.02</c:v>
                </c:pt>
                <c:pt idx="107">
                  <c:v>0.02</c:v>
                </c:pt>
                <c:pt idx="108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34-4254-B2B1-C5518BA16251}"/>
            </c:ext>
          </c:extLst>
        </c:ser>
        <c:ser>
          <c:idx val="1"/>
          <c:order val="1"/>
          <c:tx>
            <c:strRef>
              <c:f>'Excel_jumia_dataset (1)'!$E$1</c:f>
              <c:strCache>
                <c:ptCount val="1"/>
                <c:pt idx="0">
                  <c:v>Review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'Excel_jumia_dataset (1)'!$E$2:$E$110</c:f>
              <c:numCache>
                <c:formatCode>General</c:formatCode>
                <c:ptCount val="109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5</c:v>
                </c:pt>
                <c:pt idx="8">
                  <c:v>12</c:v>
                </c:pt>
                <c:pt idx="9">
                  <c:v>5</c:v>
                </c:pt>
                <c:pt idx="10">
                  <c:v>7</c:v>
                </c:pt>
                <c:pt idx="11">
                  <c:v>39</c:v>
                </c:pt>
                <c:pt idx="12">
                  <c:v>12</c:v>
                </c:pt>
                <c:pt idx="13">
                  <c:v>20</c:v>
                </c:pt>
                <c:pt idx="14">
                  <c:v>44</c:v>
                </c:pt>
                <c:pt idx="15">
                  <c:v>49</c:v>
                </c:pt>
                <c:pt idx="16">
                  <c:v>24</c:v>
                </c:pt>
                <c:pt idx="17">
                  <c:v>55</c:v>
                </c:pt>
                <c:pt idx="18">
                  <c:v>5</c:v>
                </c:pt>
                <c:pt idx="19">
                  <c:v>6</c:v>
                </c:pt>
                <c:pt idx="20">
                  <c:v>2</c:v>
                </c:pt>
                <c:pt idx="21">
                  <c:v>2</c:v>
                </c:pt>
                <c:pt idx="22">
                  <c:v>32</c:v>
                </c:pt>
                <c:pt idx="23">
                  <c:v>14</c:v>
                </c:pt>
                <c:pt idx="24">
                  <c:v>7</c:v>
                </c:pt>
                <c:pt idx="25">
                  <c:v>9</c:v>
                </c:pt>
                <c:pt idx="26">
                  <c:v>9</c:v>
                </c:pt>
                <c:pt idx="27">
                  <c:v>36</c:v>
                </c:pt>
                <c:pt idx="28">
                  <c:v>9</c:v>
                </c:pt>
                <c:pt idx="29">
                  <c:v>14</c:v>
                </c:pt>
                <c:pt idx="30">
                  <c:v>20</c:v>
                </c:pt>
                <c:pt idx="31">
                  <c:v>12</c:v>
                </c:pt>
                <c:pt idx="32">
                  <c:v>1</c:v>
                </c:pt>
                <c:pt idx="33">
                  <c:v>2</c:v>
                </c:pt>
                <c:pt idx="34">
                  <c:v>6</c:v>
                </c:pt>
                <c:pt idx="35">
                  <c:v>15</c:v>
                </c:pt>
                <c:pt idx="36">
                  <c:v>5</c:v>
                </c:pt>
                <c:pt idx="37">
                  <c:v>13</c:v>
                </c:pt>
                <c:pt idx="38">
                  <c:v>12</c:v>
                </c:pt>
                <c:pt idx="39">
                  <c:v>13</c:v>
                </c:pt>
                <c:pt idx="40">
                  <c:v>10</c:v>
                </c:pt>
                <c:pt idx="41">
                  <c:v>1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16</c:v>
                </c:pt>
                <c:pt idx="46">
                  <c:v>69</c:v>
                </c:pt>
                <c:pt idx="47">
                  <c:v>15</c:v>
                </c:pt>
                <c:pt idx="48">
                  <c:v>17</c:v>
                </c:pt>
                <c:pt idx="49">
                  <c:v>6</c:v>
                </c:pt>
                <c:pt idx="50">
                  <c:v>7</c:v>
                </c:pt>
                <c:pt idx="51">
                  <c:v>6</c:v>
                </c:pt>
                <c:pt idx="52">
                  <c:v>6</c:v>
                </c:pt>
                <c:pt idx="53">
                  <c:v>6</c:v>
                </c:pt>
                <c:pt idx="54">
                  <c:v>5</c:v>
                </c:pt>
                <c:pt idx="55">
                  <c:v>7</c:v>
                </c:pt>
                <c:pt idx="5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34-4254-B2B1-C5518BA162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6555968"/>
        <c:axId val="1546543072"/>
      </c:lineChart>
      <c:catAx>
        <c:axId val="15465559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6543072"/>
        <c:crosses val="autoZero"/>
        <c:auto val="1"/>
        <c:lblAlgn val="ctr"/>
        <c:lblOffset val="100"/>
        <c:noMultiLvlLbl val="0"/>
      </c:catAx>
      <c:valAx>
        <c:axId val="154654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6555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'Excel_jumia_dataset (1)'!$F$1</c:f>
              <c:strCache>
                <c:ptCount val="1"/>
                <c:pt idx="0">
                  <c:v>Rating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'Excel_jumia_dataset (1)'!$E$2:$E$110</c:f>
              <c:numCache>
                <c:formatCode>General</c:formatCode>
                <c:ptCount val="109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5</c:v>
                </c:pt>
                <c:pt idx="8">
                  <c:v>12</c:v>
                </c:pt>
                <c:pt idx="9">
                  <c:v>5</c:v>
                </c:pt>
                <c:pt idx="10">
                  <c:v>7</c:v>
                </c:pt>
                <c:pt idx="11">
                  <c:v>39</c:v>
                </c:pt>
                <c:pt idx="12">
                  <c:v>12</c:v>
                </c:pt>
                <c:pt idx="13">
                  <c:v>20</c:v>
                </c:pt>
                <c:pt idx="14">
                  <c:v>44</c:v>
                </c:pt>
                <c:pt idx="15">
                  <c:v>49</c:v>
                </c:pt>
                <c:pt idx="16">
                  <c:v>24</c:v>
                </c:pt>
                <c:pt idx="17">
                  <c:v>55</c:v>
                </c:pt>
                <c:pt idx="18">
                  <c:v>5</c:v>
                </c:pt>
                <c:pt idx="19">
                  <c:v>6</c:v>
                </c:pt>
                <c:pt idx="20">
                  <c:v>2</c:v>
                </c:pt>
                <c:pt idx="21">
                  <c:v>2</c:v>
                </c:pt>
                <c:pt idx="22">
                  <c:v>32</c:v>
                </c:pt>
                <c:pt idx="23">
                  <c:v>14</c:v>
                </c:pt>
                <c:pt idx="24">
                  <c:v>7</c:v>
                </c:pt>
                <c:pt idx="25">
                  <c:v>9</c:v>
                </c:pt>
                <c:pt idx="26">
                  <c:v>9</c:v>
                </c:pt>
                <c:pt idx="27">
                  <c:v>36</c:v>
                </c:pt>
                <c:pt idx="28">
                  <c:v>9</c:v>
                </c:pt>
                <c:pt idx="29">
                  <c:v>14</c:v>
                </c:pt>
                <c:pt idx="30">
                  <c:v>20</c:v>
                </c:pt>
                <c:pt idx="31">
                  <c:v>12</c:v>
                </c:pt>
                <c:pt idx="32">
                  <c:v>1</c:v>
                </c:pt>
                <c:pt idx="33">
                  <c:v>2</c:v>
                </c:pt>
                <c:pt idx="34">
                  <c:v>6</c:v>
                </c:pt>
                <c:pt idx="35">
                  <c:v>15</c:v>
                </c:pt>
                <c:pt idx="36">
                  <c:v>5</c:v>
                </c:pt>
                <c:pt idx="37">
                  <c:v>13</c:v>
                </c:pt>
                <c:pt idx="38">
                  <c:v>12</c:v>
                </c:pt>
                <c:pt idx="39">
                  <c:v>13</c:v>
                </c:pt>
                <c:pt idx="40">
                  <c:v>10</c:v>
                </c:pt>
                <c:pt idx="41">
                  <c:v>1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16</c:v>
                </c:pt>
                <c:pt idx="46">
                  <c:v>69</c:v>
                </c:pt>
                <c:pt idx="47">
                  <c:v>15</c:v>
                </c:pt>
                <c:pt idx="48">
                  <c:v>17</c:v>
                </c:pt>
                <c:pt idx="49">
                  <c:v>6</c:v>
                </c:pt>
                <c:pt idx="50">
                  <c:v>7</c:v>
                </c:pt>
                <c:pt idx="51">
                  <c:v>6</c:v>
                </c:pt>
                <c:pt idx="52">
                  <c:v>6</c:v>
                </c:pt>
                <c:pt idx="53">
                  <c:v>6</c:v>
                </c:pt>
                <c:pt idx="54">
                  <c:v>5</c:v>
                </c:pt>
                <c:pt idx="55">
                  <c:v>7</c:v>
                </c:pt>
                <c:pt idx="56">
                  <c:v>1</c:v>
                </c:pt>
              </c:numCache>
            </c:numRef>
          </c:xVal>
          <c:yVal>
            <c:numRef>
              <c:f>'Excel_jumia_dataset (1)'!$F$2:$F$110</c:f>
              <c:numCache>
                <c:formatCode>0.0</c:formatCode>
                <c:ptCount val="109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4.8</c:v>
                </c:pt>
                <c:pt idx="8">
                  <c:v>4.8</c:v>
                </c:pt>
                <c:pt idx="9">
                  <c:v>4.8</c:v>
                </c:pt>
                <c:pt idx="10">
                  <c:v>4.7</c:v>
                </c:pt>
                <c:pt idx="11">
                  <c:v>4.7</c:v>
                </c:pt>
                <c:pt idx="12">
                  <c:v>4.7</c:v>
                </c:pt>
                <c:pt idx="13">
                  <c:v>4.7</c:v>
                </c:pt>
                <c:pt idx="14">
                  <c:v>4.5999999999999996</c:v>
                </c:pt>
                <c:pt idx="15">
                  <c:v>4.5999999999999996</c:v>
                </c:pt>
                <c:pt idx="16">
                  <c:v>4.5999999999999996</c:v>
                </c:pt>
                <c:pt idx="17">
                  <c:v>4.5999999999999996</c:v>
                </c:pt>
                <c:pt idx="18">
                  <c:v>4.5999999999999996</c:v>
                </c:pt>
                <c:pt idx="19">
                  <c:v>4.5</c:v>
                </c:pt>
                <c:pt idx="20">
                  <c:v>4.5</c:v>
                </c:pt>
                <c:pt idx="21">
                  <c:v>4.5</c:v>
                </c:pt>
                <c:pt idx="22">
                  <c:v>4.5</c:v>
                </c:pt>
                <c:pt idx="23">
                  <c:v>4.4000000000000004</c:v>
                </c:pt>
                <c:pt idx="24">
                  <c:v>4.3</c:v>
                </c:pt>
                <c:pt idx="25">
                  <c:v>4.3</c:v>
                </c:pt>
                <c:pt idx="26">
                  <c:v>4.3</c:v>
                </c:pt>
                <c:pt idx="27">
                  <c:v>4.3</c:v>
                </c:pt>
                <c:pt idx="28">
                  <c:v>4.2</c:v>
                </c:pt>
                <c:pt idx="29">
                  <c:v>4.0999999999999996</c:v>
                </c:pt>
                <c:pt idx="30">
                  <c:v>4.0999999999999996</c:v>
                </c:pt>
                <c:pt idx="31">
                  <c:v>4.0999999999999996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3.8</c:v>
                </c:pt>
                <c:pt idx="37">
                  <c:v>3.8</c:v>
                </c:pt>
                <c:pt idx="38">
                  <c:v>3.8</c:v>
                </c:pt>
                <c:pt idx="39">
                  <c:v>3.3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2.9</c:v>
                </c:pt>
                <c:pt idx="46">
                  <c:v>2.8</c:v>
                </c:pt>
                <c:pt idx="47">
                  <c:v>2.7</c:v>
                </c:pt>
                <c:pt idx="48">
                  <c:v>2.6</c:v>
                </c:pt>
                <c:pt idx="49">
                  <c:v>2.5</c:v>
                </c:pt>
                <c:pt idx="50">
                  <c:v>2.2999999999999998</c:v>
                </c:pt>
                <c:pt idx="51">
                  <c:v>2.2999999999999998</c:v>
                </c:pt>
                <c:pt idx="52">
                  <c:v>2.2000000000000002</c:v>
                </c:pt>
                <c:pt idx="53">
                  <c:v>2.2000000000000002</c:v>
                </c:pt>
                <c:pt idx="54">
                  <c:v>2.1</c:v>
                </c:pt>
                <c:pt idx="55">
                  <c:v>2.1</c:v>
                </c:pt>
                <c:pt idx="56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91-47C1-91EF-5F650B41C8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8626608"/>
        <c:axId val="1598626192"/>
      </c:scatterChart>
      <c:valAx>
        <c:axId val="1598626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8626192"/>
        <c:crosses val="autoZero"/>
        <c:crossBetween val="midCat"/>
      </c:valAx>
      <c:valAx>
        <c:axId val="1598626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8626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[Excel_jumia_dataset (1).xlsx]Pivots!PivotTable20</c:name>
    <c:fmtId val="13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Pivots!$H$2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07B-4D98-832E-3DA47EF7B2C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07B-4D98-832E-3DA47EF7B2C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07B-4D98-832E-3DA47EF7B2CA}"/>
              </c:ext>
            </c:extLst>
          </c:dPt>
          <c:cat>
            <c:strRef>
              <c:f>Pivots!$G$3:$G$6</c:f>
              <c:strCache>
                <c:ptCount val="3"/>
                <c:pt idx="0">
                  <c:v>High Discount</c:v>
                </c:pt>
                <c:pt idx="1">
                  <c:v>Low Discount</c:v>
                </c:pt>
                <c:pt idx="2">
                  <c:v>Medium Discount</c:v>
                </c:pt>
              </c:strCache>
            </c:strRef>
          </c:cat>
          <c:val>
            <c:numRef>
              <c:f>Pivots!$H$3:$H$6</c:f>
              <c:numCache>
                <c:formatCode>0.00</c:formatCode>
                <c:ptCount val="3"/>
                <c:pt idx="0">
                  <c:v>59</c:v>
                </c:pt>
                <c:pt idx="1">
                  <c:v>18</c:v>
                </c:pt>
                <c:pt idx="2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07B-4D98-832E-3DA47EF7B2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Pivots!$D$17</c:f>
              <c:strCache>
                <c:ptCount val="1"/>
                <c:pt idx="0">
                  <c:v>Discount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Pivots!$A$18:$A$27</c:f>
              <c:strCache>
                <c:ptCount val="10"/>
                <c:pt idx="0">
                  <c:v>6 In 1 Bottle Can Opener Multifunctional Easy Opener</c:v>
                </c:pt>
                <c:pt idx="1">
                  <c:v>Creative Owl Shape Keychain Black</c:v>
                </c:pt>
                <c:pt idx="2">
                  <c:v>LASA FOLDING TABLE SERVING STAND</c:v>
                </c:pt>
                <c:pt idx="3">
                  <c:v>5-PCS Stainless Steel Cooking Pot Set With Steamed Slices</c:v>
                </c:pt>
                <c:pt idx="4">
                  <c:v>Mythco 120COB Solar Wall Ligt With Motion Sensor And Remote Control 3 Modes</c:v>
                </c:pt>
                <c:pt idx="5">
                  <c:v>LASA 3 Tier Bamboo Shoe Bench Storage Shelf</c:v>
                </c:pt>
                <c:pt idx="6">
                  <c:v>3PCS Single Head Knitting Crochet Sweater Needle Set</c:v>
                </c:pt>
                <c:pt idx="7">
                  <c:v>Classic Black Cat Cotton Hemp Pillow Case For Home Car</c:v>
                </c:pt>
                <c:pt idx="8">
                  <c:v>Intelligent  LED Body Sensor Wireless Lighting Night Light USB</c:v>
                </c:pt>
                <c:pt idx="9">
                  <c:v>Exfoliate And Exfoliate Face Towel - Black</c:v>
                </c:pt>
              </c:strCache>
            </c:strRef>
          </c:cat>
          <c:val>
            <c:numRef>
              <c:f>Pivots!$D$18:$D$27</c:f>
              <c:numCache>
                <c:formatCode>0%</c:formatCode>
                <c:ptCount val="10"/>
                <c:pt idx="0">
                  <c:v>0.64</c:v>
                </c:pt>
                <c:pt idx="1">
                  <c:v>0.61</c:v>
                </c:pt>
                <c:pt idx="2">
                  <c:v>0.55000000000000004</c:v>
                </c:pt>
                <c:pt idx="3">
                  <c:v>0.55000000000000004</c:v>
                </c:pt>
                <c:pt idx="4">
                  <c:v>0.54</c:v>
                </c:pt>
                <c:pt idx="5">
                  <c:v>0.54</c:v>
                </c:pt>
                <c:pt idx="6">
                  <c:v>0.53</c:v>
                </c:pt>
                <c:pt idx="7">
                  <c:v>0.53</c:v>
                </c:pt>
                <c:pt idx="8">
                  <c:v>0.52</c:v>
                </c:pt>
                <c:pt idx="9">
                  <c:v>0.52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76-4CDE-8E58-8A081EBF03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46557632"/>
        <c:axId val="1546558048"/>
      </c:barChart>
      <c:catAx>
        <c:axId val="15465576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6558048"/>
        <c:crosses val="autoZero"/>
        <c:auto val="1"/>
        <c:lblAlgn val="ctr"/>
        <c:lblOffset val="100"/>
        <c:noMultiLvlLbl val="0"/>
      </c:catAx>
      <c:valAx>
        <c:axId val="1546558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6557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946150</xdr:colOff>
      <xdr:row>144</xdr:row>
      <xdr:rowOff>177800</xdr:rowOff>
    </xdr:from>
    <xdr:to>
      <xdr:col>2</xdr:col>
      <xdr:colOff>527050</xdr:colOff>
      <xdr:row>160</xdr:row>
      <xdr:rowOff>88900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1143000</xdr:colOff>
      <xdr:row>145</xdr:row>
      <xdr:rowOff>6350</xdr:rowOff>
    </xdr:from>
    <xdr:to>
      <xdr:col>10</xdr:col>
      <xdr:colOff>57150</xdr:colOff>
      <xdr:row>159</xdr:row>
      <xdr:rowOff>171450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</xdr:row>
      <xdr:rowOff>171450</xdr:rowOff>
    </xdr:from>
    <xdr:to>
      <xdr:col>7</xdr:col>
      <xdr:colOff>19050</xdr:colOff>
      <xdr:row>38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24</xdr:row>
      <xdr:rowOff>0</xdr:rowOff>
    </xdr:from>
    <xdr:to>
      <xdr:col>16</xdr:col>
      <xdr:colOff>0</xdr:colOff>
      <xdr:row>38</xdr:row>
      <xdr:rowOff>127000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42</xdr:row>
      <xdr:rowOff>6350</xdr:rowOff>
    </xdr:from>
    <xdr:to>
      <xdr:col>7</xdr:col>
      <xdr:colOff>0</xdr:colOff>
      <xdr:row>56</xdr:row>
      <xdr:rowOff>165100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42</xdr:row>
      <xdr:rowOff>0</xdr:rowOff>
    </xdr:from>
    <xdr:to>
      <xdr:col>15</xdr:col>
      <xdr:colOff>603250</xdr:colOff>
      <xdr:row>56</xdr:row>
      <xdr:rowOff>171450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61</xdr:row>
      <xdr:rowOff>19050</xdr:rowOff>
    </xdr:from>
    <xdr:to>
      <xdr:col>7</xdr:col>
      <xdr:colOff>6350</xdr:colOff>
      <xdr:row>75</xdr:row>
      <xdr:rowOff>165100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60</xdr:row>
      <xdr:rowOff>158750</xdr:rowOff>
    </xdr:from>
    <xdr:to>
      <xdr:col>15</xdr:col>
      <xdr:colOff>603250</xdr:colOff>
      <xdr:row>75</xdr:row>
      <xdr:rowOff>165100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186.712524305556" createdVersion="6" refreshedVersion="6" minRefreshableVersion="3" recordCount="109">
  <cacheSource type="worksheet">
    <worksheetSource ref="A1:I110" sheet="Excel_jumia_dataset (1)"/>
  </cacheSource>
  <cacheFields count="9">
    <cacheField name="Product" numFmtId="0">
      <sharedItems/>
    </cacheField>
    <cacheField name="Current price" numFmtId="1">
      <sharedItems containsMixedTypes="1" containsNumber="1" containsInteger="1" minValue="38" maxValue="3750"/>
    </cacheField>
    <cacheField name="old price" numFmtId="1">
      <sharedItems containsMixedTypes="1" containsNumber="1" containsInteger="1" minValue="80" maxValue="6143"/>
    </cacheField>
    <cacheField name="Discount" numFmtId="9">
      <sharedItems containsSemiMixedTypes="0" containsString="0" containsNumber="1" minValue="0.01" maxValue="0.64"/>
    </cacheField>
    <cacheField name="Review" numFmtId="0">
      <sharedItems containsString="0" containsBlank="1" containsNumber="1" containsInteger="1" minValue="-69" maxValue="-1"/>
    </cacheField>
    <cacheField name="Ratingd" numFmtId="164">
      <sharedItems containsString="0" containsBlank="1" containsNumber="1" minValue="2" maxValue="5" count="23">
        <n v="4.5"/>
        <n v="4.0999999999999996"/>
        <n v="4.5999999999999996"/>
        <n v="4.7"/>
        <n v="4.8"/>
        <n v="4"/>
        <n v="3.8"/>
        <n v="4.2"/>
        <n v="5"/>
        <n v="3.3"/>
        <m/>
        <n v="4.4000000000000004"/>
        <n v="4.3"/>
        <n v="2.5"/>
        <n v="3"/>
        <n v="2.1"/>
        <n v="2.8"/>
        <n v="2.7"/>
        <n v="2.9"/>
        <n v="2.2000000000000002"/>
        <n v="2.2999999999999998"/>
        <n v="2.6"/>
        <n v="2"/>
      </sharedItems>
    </cacheField>
    <cacheField name="Absolute Discount" numFmtId="1">
      <sharedItems containsMixedTypes="1" containsNumber="1" containsInteger="1" minValue="24" maxValue="2585"/>
    </cacheField>
    <cacheField name="Rating Category" numFmtId="0">
      <sharedItems count="4">
        <s v="Excellent"/>
        <s v="Average"/>
        <s v=""/>
        <s v="Poor"/>
      </sharedItems>
    </cacheField>
    <cacheField name="Discount % Category" numFmtId="0">
      <sharedItems count="3">
        <s v="Medium Discount"/>
        <s v="High Discount"/>
        <s v="Low Discoun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9">
  <r>
    <s v="115  Piece Set Of Multifunctional Precision Screwdrivers"/>
    <n v="950"/>
    <n v="1525"/>
    <n v="0.38"/>
    <n v="-2"/>
    <x v="0"/>
    <n v="575"/>
    <x v="0"/>
    <x v="0"/>
  </r>
  <r>
    <s v="Metal Decorative Hooks Key Hangers Entryway Wall Hooks Towel Hooks - Home"/>
    <n v="527"/>
    <n v="999"/>
    <n v="0.47"/>
    <n v="-14"/>
    <x v="1"/>
    <n v="472"/>
    <x v="1"/>
    <x v="1"/>
  </r>
  <r>
    <s v="Portable Mini Cordless Car Vacuum Cleaner - Blue"/>
    <n v="2199"/>
    <n v="2923"/>
    <n v="0.25"/>
    <n v="-24"/>
    <x v="2"/>
    <n v="724"/>
    <x v="0"/>
    <x v="0"/>
  </r>
  <r>
    <s v="Weighing Scale Digital Bathroom Body Fat Scale USB-Black"/>
    <n v="1580"/>
    <n v="2499"/>
    <n v="0.37"/>
    <n v="-7"/>
    <x v="3"/>
    <n v="919"/>
    <x v="0"/>
    <x v="0"/>
  </r>
  <r>
    <s v="Portable Home Small Air Humidifier 3-Speed Fan - Green"/>
    <n v="1740"/>
    <n v="2356"/>
    <n v="0.26"/>
    <n v="-5"/>
    <x v="4"/>
    <n v="616"/>
    <x v="0"/>
    <x v="0"/>
  </r>
  <r>
    <s v="220V 60W Electric Soldering Iron Kits With Tools Tips And Multimeter"/>
    <n v="2999"/>
    <n v="3290"/>
    <n v="0.09"/>
    <n v="-15"/>
    <x v="5"/>
    <n v="291"/>
    <x v="1"/>
    <x v="2"/>
  </r>
  <r>
    <s v="137 Pieces Cake Decorating Tool Set Baking Supplies"/>
    <n v="2319"/>
    <n v="3032"/>
    <n v="0.24"/>
    <n v="-55"/>
    <x v="2"/>
    <n v="713"/>
    <x v="0"/>
    <x v="0"/>
  </r>
  <r>
    <s v="Desk Foldable Fan Adjustable Fan Strong Wind 3 Gear Usb"/>
    <n v="988"/>
    <n v="1580"/>
    <n v="0.37"/>
    <n v="-2"/>
    <x v="5"/>
    <n v="592"/>
    <x v="1"/>
    <x v="0"/>
  </r>
  <r>
    <s v="LASA FOLDING TABLE SERVING STAND"/>
    <n v="1274"/>
    <n v="2800"/>
    <n v="0.55000000000000004"/>
    <n v="-5"/>
    <x v="4"/>
    <n v="1526"/>
    <x v="0"/>
    <x v="1"/>
  </r>
  <r>
    <s v="13 In 1 Home Repair Tools Box Kit Set"/>
    <n v="1600"/>
    <n v="2929"/>
    <n v="0.45"/>
    <n v="-5"/>
    <x v="6"/>
    <n v="1329"/>
    <x v="1"/>
    <x v="1"/>
  </r>
  <r>
    <s v="Genebre 115 In 1 Screwdriver Repairing Tool Set For IPhone Cellphone Hand Tool"/>
    <n v="799"/>
    <n v="999"/>
    <n v="0.2"/>
    <n v="-12"/>
    <x v="1"/>
    <n v="200"/>
    <x v="1"/>
    <x v="0"/>
  </r>
  <r>
    <s v="100 Pcs Crochet Hook Tool Set Knitting Hook Set With Box"/>
    <n v="990"/>
    <n v="1500"/>
    <n v="0.34"/>
    <n v="-39"/>
    <x v="3"/>
    <n v="510"/>
    <x v="0"/>
    <x v="0"/>
  </r>
  <r>
    <s v="40cm Gold DIY Acrylic Wall Sticker Clock"/>
    <n v="552"/>
    <n v="1035"/>
    <n v="0.47"/>
    <n v="-12"/>
    <x v="4"/>
    <n v="483"/>
    <x v="0"/>
    <x v="1"/>
  </r>
  <r>
    <s v="LASA Digital Thermometer And Hydrometer"/>
    <n v="501"/>
    <n v="860"/>
    <n v="0.42"/>
    <n v="-6"/>
    <x v="0"/>
    <n v="359"/>
    <x v="0"/>
    <x v="1"/>
  </r>
  <r>
    <s v="Multifunction Laser Level With Adjustment Tripod"/>
    <n v="1680"/>
    <n v="2499"/>
    <n v="0.33"/>
    <n v="-9"/>
    <x v="7"/>
    <n v="819"/>
    <x v="1"/>
    <x v="0"/>
  </r>
  <r>
    <s v="Anti-Skid Absorbent Insulation Coaster  For Home Office"/>
    <n v="332"/>
    <n v="684"/>
    <n v="0.51"/>
    <n v="-2"/>
    <x v="8"/>
    <n v="352"/>
    <x v="0"/>
    <x v="1"/>
  </r>
  <r>
    <s v="Peacock  Throw Pillow Cushion Case For Home Car"/>
    <n v="195"/>
    <n v="360"/>
    <n v="0.46"/>
    <n v="-2"/>
    <x v="8"/>
    <n v="165"/>
    <x v="0"/>
    <x v="1"/>
  </r>
  <r>
    <s v="LASA Aluminum Folding Truck Hand Cart - 68kg Max"/>
    <n v="2025"/>
    <n v="3971"/>
    <n v="0.49"/>
    <n v="-3"/>
    <x v="8"/>
    <n v="1946"/>
    <x v="0"/>
    <x v="1"/>
  </r>
  <r>
    <s v="LED Wall Digital Alarm Clock Study Home 12 / 24H Clock Calendar"/>
    <n v="2999"/>
    <n v="3699"/>
    <n v="0.19"/>
    <n v="-5"/>
    <x v="2"/>
    <n v="700"/>
    <x v="0"/>
    <x v="2"/>
  </r>
  <r>
    <s v="3D Waterproof EVA Plastic Shower Curtain 1.8*2Mtrs"/>
    <n v="998"/>
    <n v="1966"/>
    <n v="0.49"/>
    <n v="-44"/>
    <x v="2"/>
    <n v="968"/>
    <x v="0"/>
    <x v="1"/>
  </r>
  <r>
    <s v="3PCS Single Head Knitting Crochet Sweater Needle Set"/>
    <n v="38"/>
    <n v="80"/>
    <n v="0.53"/>
    <n v="-13"/>
    <x v="9"/>
    <n v="42"/>
    <x v="1"/>
    <x v="1"/>
  </r>
  <r>
    <s v="4pcs Bathroom/Kitchen Towel RackRoll Paper HolderTowel BarsHook"/>
    <n v="1860"/>
    <n v="3220"/>
    <n v="0.42"/>
    <m/>
    <x v="10"/>
    <n v="1360"/>
    <x v="2"/>
    <x v="1"/>
  </r>
  <r>
    <s v="LED Romantic Spaceship Starry Sky ProjectorChildren's Bedroom Night Light-Blue"/>
    <n v="880"/>
    <n v="1350"/>
    <n v="0.35"/>
    <n v="-6"/>
    <x v="5"/>
    <n v="470"/>
    <x v="1"/>
    <x v="0"/>
  </r>
  <r>
    <s v="Foldable Overbed Table/Desk"/>
    <n v="1650"/>
    <n v="2150"/>
    <n v="0.23"/>
    <n v="-14"/>
    <x v="11"/>
    <n v="500"/>
    <x v="1"/>
    <x v="0"/>
  </r>
  <r>
    <s v="LASA 3 Tier Bamboo Shoe Bench Storage Shelf"/>
    <n v="2048"/>
    <n v="4500"/>
    <n v="0.54"/>
    <n v="-7"/>
    <x v="12"/>
    <n v="2452"/>
    <x v="1"/>
    <x v="1"/>
  </r>
  <r>
    <s v="Electronic Digital Display Vernier Caliper"/>
    <n v="420"/>
    <n v="647"/>
    <n v="0.35"/>
    <n v="-49"/>
    <x v="2"/>
    <n v="227"/>
    <x v="0"/>
    <x v="0"/>
  </r>
  <r>
    <s v="Portable Wardrobe Nonwoven With 3 Hanging Rods And 6 Storage Shelves"/>
    <n v="2880"/>
    <n v="3520"/>
    <n v="0.18"/>
    <n v="-12"/>
    <x v="6"/>
    <n v="640"/>
    <x v="1"/>
    <x v="2"/>
  </r>
  <r>
    <s v="12 Litre Black Insulated Lunch Box"/>
    <n v="1350"/>
    <n v="1990"/>
    <n v="0.32"/>
    <n v="-13"/>
    <x v="6"/>
    <n v="640"/>
    <x v="1"/>
    <x v="0"/>
  </r>
  <r>
    <s v="52 Pieces Cake Decorating Tool Set Gift Kit Baking Supplies"/>
    <n v="1758"/>
    <n v="2499"/>
    <n v="0.3"/>
    <n v="-20"/>
    <x v="1"/>
    <n v="741"/>
    <x v="1"/>
    <x v="0"/>
  </r>
  <r>
    <s v="MultiFunctional Storage Rack Multi-layer Booelf"/>
    <n v="2200"/>
    <n v="4080"/>
    <n v="0.46"/>
    <m/>
    <x v="10"/>
    <n v="1880"/>
    <x v="2"/>
    <x v="1"/>
  </r>
  <r>
    <s v="Exfoliate And Exfoliate Face Towel - Black"/>
    <n v="185"/>
    <n v="382"/>
    <n v="0.52"/>
    <n v="-9"/>
    <x v="12"/>
    <n v="197"/>
    <x v="1"/>
    <x v="1"/>
  </r>
  <r>
    <s v="12 Litre Insulated Lunch Box Grey"/>
    <n v="980"/>
    <n v="1490"/>
    <n v="0.34"/>
    <n v="-12"/>
    <x v="3"/>
    <n v="510"/>
    <x v="0"/>
    <x v="0"/>
  </r>
  <r>
    <s v="LED Eye Protection  Desk Lamp  Study Reading USB Fan - Double Pen Holder"/>
    <n v="1820"/>
    <n v="3490"/>
    <n v="0.48"/>
    <n v="-9"/>
    <x v="12"/>
    <n v="1670"/>
    <x v="1"/>
    <x v="1"/>
  </r>
  <r>
    <s v="53Pcs/Set Yarn Knitting Crochet Hooks With Bag - Fortune Cat"/>
    <n v="1940"/>
    <n v="2650"/>
    <n v="0.27"/>
    <n v="-20"/>
    <x v="3"/>
    <n v="710"/>
    <x v="0"/>
    <x v="0"/>
  </r>
  <r>
    <s v="53 Pieces/Set Yarn Knitting Crochet Hooks With Bag - Pansies"/>
    <n v="1980"/>
    <n v="2699"/>
    <n v="0.27"/>
    <n v="-32"/>
    <x v="0"/>
    <n v="719"/>
    <x v="0"/>
    <x v="0"/>
  </r>
  <r>
    <s v="DIY File Folder Office Drawer File Holder Pen Holder Desktop Storage Rack"/>
    <n v="1620"/>
    <n v="2690"/>
    <n v="0.4"/>
    <n v="-1"/>
    <x v="8"/>
    <n v="1070"/>
    <x v="0"/>
    <x v="0"/>
  </r>
  <r>
    <s v="Classic Black Cat Cotton Hemp Pillow Case For Home Car"/>
    <n v="171"/>
    <n v="360"/>
    <n v="0.53"/>
    <n v="-2"/>
    <x v="8"/>
    <n v="189"/>
    <x v="0"/>
    <x v="1"/>
  </r>
  <r>
    <s v="Punch-free Great Load Bearing Bathroom Storage Rack Wall Shelf-White"/>
    <n v="389"/>
    <n v="656"/>
    <n v="0.41"/>
    <n v="-36"/>
    <x v="12"/>
    <n v="267"/>
    <x v="1"/>
    <x v="1"/>
  </r>
  <r>
    <s v="1/2/3 Seater Elastic Sofa CoverLiving Room/Home Decor Chair Cover-Grey"/>
    <s v=" 1620 -  1980"/>
    <s v=" 2200 -  3200"/>
    <n v="0.38"/>
    <n v="-2"/>
    <x v="0"/>
    <e v="#VALUE!"/>
    <x v="0"/>
    <x v="0"/>
  </r>
  <r>
    <s v="LASA Stainless Steel Double Wall Mount Soap Dispenser - 500ml"/>
    <n v="2750"/>
    <n v="4471"/>
    <n v="0.38"/>
    <m/>
    <x v="10"/>
    <n v="1721"/>
    <x v="2"/>
    <x v="0"/>
  </r>
  <r>
    <s v="4M Float Switch Water Level Controller -Water Tank"/>
    <n v="475"/>
    <n v="931"/>
    <n v="0.49"/>
    <m/>
    <x v="10"/>
    <n v="456"/>
    <x v="2"/>
    <x v="1"/>
  </r>
  <r>
    <s v="Modern Sofa Throw Pillow Cover-45x45cm-Blue&amp;Red"/>
    <n v="238"/>
    <n v="476"/>
    <n v="0.5"/>
    <m/>
    <x v="10"/>
    <n v="238"/>
    <x v="2"/>
    <x v="1"/>
  </r>
  <r>
    <s v="Balloon Insert Birthday Party Balloon Set PU Leather"/>
    <n v="610"/>
    <n v="1060"/>
    <n v="0.42"/>
    <m/>
    <x v="10"/>
    <n v="450"/>
    <x v="2"/>
    <x v="1"/>
  </r>
  <r>
    <s v="Shower Cap Wide Elastic Band Cover Reusable Bashroom Cap"/>
    <n v="2132"/>
    <n v="2169"/>
    <n v="0.02"/>
    <m/>
    <x v="10"/>
    <n v="37"/>
    <x v="2"/>
    <x v="2"/>
  </r>
  <r>
    <s v="Christmas Elk Fence Yard Lawn Decorations Cute For Holidays"/>
    <n v="999"/>
    <n v="2000"/>
    <n v="0.5"/>
    <m/>
    <x v="10"/>
    <n v="1001"/>
    <x v="2"/>
    <x v="1"/>
  </r>
  <r>
    <s v="60W Hot Melt Glue Sprayer - Efficient And Stable Glue Dispensing"/>
    <n v="1190"/>
    <n v="1785"/>
    <n v="0.33"/>
    <m/>
    <x v="10"/>
    <n v="595"/>
    <x v="2"/>
    <x v="0"/>
  </r>
  <r>
    <s v="Car Phone Charging Stand"/>
    <n v="671"/>
    <n v="1316"/>
    <n v="0.49"/>
    <m/>
    <x v="10"/>
    <n v="645"/>
    <x v="2"/>
    <x v="1"/>
  </r>
  <r>
    <s v="2pcs Solar Street Light Flood Light Outdoor"/>
    <n v="1200"/>
    <n v="1950"/>
    <n v="0.38"/>
    <m/>
    <x v="10"/>
    <n v="750"/>
    <x v="2"/>
    <x v="0"/>
  </r>
  <r>
    <s v="Creative Owl Shape Keychain Black"/>
    <n v="199"/>
    <n v="504"/>
    <n v="0.61"/>
    <m/>
    <x v="10"/>
    <n v="305"/>
    <x v="2"/>
    <x v="1"/>
  </r>
  <r>
    <s v="Brush &amp; Paintbrush Cleaning Tool Pink"/>
    <n v="299"/>
    <n v="600"/>
    <n v="0.5"/>
    <m/>
    <x v="10"/>
    <n v="301"/>
    <x v="2"/>
    <x v="1"/>
  </r>
  <r>
    <s v="Pen Grips For Kids Pen Grip Posture Correction Tool For Kids"/>
    <n v="1660"/>
    <n v="1699"/>
    <n v="0.02"/>
    <m/>
    <x v="10"/>
    <n v="39"/>
    <x v="2"/>
    <x v="2"/>
  </r>
  <r>
    <s v="Pilates Cloth Bag Waterproof Durable High Capacity Purple"/>
    <n v="299"/>
    <n v="384"/>
    <n v="0.22"/>
    <m/>
    <x v="10"/>
    <n v="85"/>
    <x v="2"/>
    <x v="0"/>
  </r>
  <r>
    <s v="Multi-purpose Rice Drainage Basket And Fruit And Vegetable Drainage Sieve"/>
    <n v="1459"/>
    <n v="1499"/>
    <n v="0.03"/>
    <m/>
    <x v="10"/>
    <n v="40"/>
    <x v="2"/>
    <x v="2"/>
  </r>
  <r>
    <s v="Cute Christmas Fence Garden Decorations For Holiday Home"/>
    <n v="799"/>
    <n v="1343"/>
    <n v="0.41"/>
    <m/>
    <x v="10"/>
    <n v="544"/>
    <x v="2"/>
    <x v="1"/>
  </r>
  <r>
    <s v="Simple Metal Dog Art Sculpture Decoration For Home Office"/>
    <n v="499"/>
    <n v="900"/>
    <n v="0.45"/>
    <m/>
    <x v="10"/>
    <n v="401"/>
    <x v="2"/>
    <x v="1"/>
  </r>
  <r>
    <s v="Christmas Fence Garden Decorations Outdoor For Holiday Home"/>
    <n v="699"/>
    <n v="1343"/>
    <n v="0.48"/>
    <m/>
    <x v="10"/>
    <n v="644"/>
    <x v="2"/>
    <x v="1"/>
  </r>
  <r>
    <s v="Angle Measuring Tool Full Metal Multi Angle Measuring Tool"/>
    <n v="799"/>
    <n v="1567"/>
    <n v="0.49"/>
    <m/>
    <x v="10"/>
    <n v="768"/>
    <x v="2"/>
    <x v="1"/>
  </r>
  <r>
    <s v="12V 19500rpm Handheld Electric Angle Grinder Tool - UK - Yellow/Black"/>
    <n v="2799"/>
    <n v="3810"/>
    <n v="0.27"/>
    <m/>
    <x v="10"/>
    <n v="1011"/>
    <x v="2"/>
    <x v="0"/>
  </r>
  <r>
    <s v="5 Pieces/set Of Stainless Steel Induction Cooker Pots"/>
    <n v="2170"/>
    <n v="2500"/>
    <n v="0.13"/>
    <n v="-6"/>
    <x v="13"/>
    <n v="330"/>
    <x v="3"/>
    <x v="2"/>
  </r>
  <r>
    <s v="Mythco 120COB Solar Wall Ligt With Motion Sensor And Remote Control 3 Modes"/>
    <n v="458"/>
    <n v="986"/>
    <n v="0.54"/>
    <n v="-10"/>
    <x v="14"/>
    <n v="528"/>
    <x v="1"/>
    <x v="1"/>
  </r>
  <r>
    <s v="5-PCS Stainless Steel Cooking Pot Set With Steamed Slices"/>
    <n v="2115"/>
    <n v="4700"/>
    <n v="0.55000000000000004"/>
    <n v="-13"/>
    <x v="15"/>
    <n v="2585"/>
    <x v="3"/>
    <x v="1"/>
  </r>
  <r>
    <s v="120W Cordless Vacuum Cleaners Handheld Electric Vacuum Cleaner"/>
    <n v="445"/>
    <n v="873"/>
    <n v="0.49"/>
    <n v="-69"/>
    <x v="16"/>
    <n v="428"/>
    <x v="3"/>
    <x v="1"/>
  </r>
  <r>
    <s v="Intelligent  LED Body Sensor Wireless Lighting Night Light USB"/>
    <n v="325"/>
    <n v="680"/>
    <n v="0.52"/>
    <n v="-15"/>
    <x v="17"/>
    <n v="355"/>
    <x v="3"/>
    <x v="1"/>
  </r>
  <r>
    <s v="VIC Wireless Vacuum Cleaner Dual Use For Home And Car 120W High Power Powerful"/>
    <n v="1220"/>
    <n v="1555"/>
    <n v="0.22"/>
    <n v="-16"/>
    <x v="18"/>
    <n v="335"/>
    <x v="3"/>
    <x v="0"/>
  </r>
  <r>
    <s v="Artificial Potted Flowers Room Decorative Flowers (2 Pieces)"/>
    <n v="990"/>
    <n v="1814"/>
    <n v="0.45"/>
    <n v="-6"/>
    <x v="19"/>
    <n v="824"/>
    <x v="3"/>
    <x v="1"/>
  </r>
  <r>
    <s v="380ML USB Rechargeable Portable Small Blenders And Juicers"/>
    <n v="1000"/>
    <n v="2000"/>
    <n v="0.5"/>
    <n v="-7"/>
    <x v="20"/>
    <n v="1000"/>
    <x v="3"/>
    <x v="1"/>
  </r>
  <r>
    <s v="32PCS Portable Cordless Drill Set With Cyclic Battery Drive -26 Variable Speed"/>
    <n v="3750"/>
    <n v="6143"/>
    <n v="0.39"/>
    <n v="-5"/>
    <x v="14"/>
    <n v="2393"/>
    <x v="1"/>
    <x v="0"/>
  </r>
  <r>
    <s v="Agapeon Toothbrush Holder And Toothpaste Dispenser"/>
    <n v="382"/>
    <n v="700"/>
    <n v="0.45"/>
    <n v="-17"/>
    <x v="21"/>
    <n v="318"/>
    <x v="3"/>
    <x v="1"/>
  </r>
  <r>
    <s v="Large Lazy Inflatable Sofa Chairs PVC Lounger Seat Bag"/>
    <n v="2300"/>
    <n v="3240"/>
    <n v="0.28999999999999998"/>
    <n v="-5"/>
    <x v="14"/>
    <n v="940"/>
    <x v="1"/>
    <x v="0"/>
  </r>
  <r>
    <s v="Watercolour Gold Foil Textured Print Pillow Cover"/>
    <n v="345"/>
    <n v="602"/>
    <n v="0.43"/>
    <n v="-6"/>
    <x v="20"/>
    <n v="257"/>
    <x v="3"/>
    <x v="1"/>
  </r>
  <r>
    <s v="Wrought Iron Bathroom Shelf Wall Mounted Free Punch Toilet Rack"/>
    <n v="509"/>
    <n v="899"/>
    <n v="0.43"/>
    <n v="-5"/>
    <x v="14"/>
    <n v="390"/>
    <x v="1"/>
    <x v="1"/>
  </r>
  <r>
    <s v="7-piece Set Of Storage Bags Travel Storage Bags Shoe Bags"/>
    <n v="968"/>
    <n v="1814"/>
    <n v="0.47"/>
    <n v="-6"/>
    <x v="19"/>
    <n v="846"/>
    <x v="3"/>
    <x v="1"/>
  </r>
  <r>
    <s v="Electric LED UV Mosquito Killer Lamp Outdoor/Indoor Fly Killer Trap Light -USB"/>
    <n v="1570"/>
    <n v="2988"/>
    <n v="0.47"/>
    <n v="-7"/>
    <x v="15"/>
    <n v="1418"/>
    <x v="3"/>
    <x v="1"/>
  </r>
  <r>
    <s v="2PCS/LOT Solar LED Outdoor Intelligent Light Controlled Wall Lamp"/>
    <n v="790"/>
    <n v="1485"/>
    <n v="0.47"/>
    <m/>
    <x v="10"/>
    <n v="695"/>
    <x v="2"/>
    <x v="1"/>
  </r>
  <r>
    <s v="3PCS Rotary Scraper Thermomix For Kitchen"/>
    <n v="690"/>
    <n v="1200"/>
    <n v="0.43"/>
    <m/>
    <x v="10"/>
    <n v="510"/>
    <x v="2"/>
    <x v="1"/>
  </r>
  <r>
    <s v="Cushion Silicone Butt Cushion Summer Ice Cushion Honeycomb Gel Cushion"/>
    <n v="1732"/>
    <n v="1799"/>
    <n v="0.04"/>
    <m/>
    <x v="10"/>
    <n v="67"/>
    <x v="2"/>
    <x v="2"/>
  </r>
  <r>
    <s v="7PCS Silicone Thumb Knife Finger Protector Vegetable Harvesting Knife"/>
    <n v="230"/>
    <n v="450"/>
    <n v="0.49"/>
    <m/>
    <x v="10"/>
    <n v="220"/>
    <x v="2"/>
    <x v="1"/>
  </r>
  <r>
    <s v="Memory Foam Neck Pillow Cover With Pillow Core - 50*30cm"/>
    <n v="1189"/>
    <n v="2199"/>
    <n v="0.46"/>
    <n v="-1"/>
    <x v="14"/>
    <n v="1010"/>
    <x v="1"/>
    <x v="1"/>
  </r>
  <r>
    <s v="Bedroom Simple Floor Hanging Clothes Rack Single Pole Hat Rack - White"/>
    <n v="979"/>
    <n v="1920"/>
    <n v="0.49"/>
    <n v="-1"/>
    <x v="8"/>
    <n v="941"/>
    <x v="0"/>
    <x v="1"/>
  </r>
  <r>
    <s v="5m Waterproof Spherical LED String Lights Outdoor Ball Chain Lights Party Lighting Decoration Adjustable"/>
    <n v="1460"/>
    <n v="2290"/>
    <n v="0.36"/>
    <m/>
    <x v="10"/>
    <n v="830"/>
    <x v="2"/>
    <x v="0"/>
  </r>
  <r>
    <s v="2 Pairs Cowhide Split Leather Work Gloves.32â„‰ Or Above Welding Gloves"/>
    <n v="1666"/>
    <n v="1699"/>
    <n v="0.02"/>
    <m/>
    <x v="10"/>
    <n v="33"/>
    <x v="2"/>
    <x v="2"/>
  </r>
  <r>
    <s v="Household Pineapple Peeler Peeler"/>
    <n v="330"/>
    <n v="647"/>
    <n v="0.49"/>
    <n v="-1"/>
    <x v="5"/>
    <n v="317"/>
    <x v="1"/>
    <x v="1"/>
  </r>
  <r>
    <s v="Office Chair Lumbar Back Support Spine Posture Correction Pillow Car Cushion"/>
    <n v="1466"/>
    <n v="1699"/>
    <n v="0.14000000000000001"/>
    <m/>
    <x v="10"/>
    <n v="233"/>
    <x v="2"/>
    <x v="2"/>
  </r>
  <r>
    <s v="Cartoon Car Decoration Cute Individuality For Car Home Desk"/>
    <n v="274"/>
    <n v="537"/>
    <n v="0.49"/>
    <m/>
    <x v="10"/>
    <n v="263"/>
    <x v="2"/>
    <x v="1"/>
  </r>
  <r>
    <s v="Outdoor Portable Water Bottle With Medicine Box - 600ML - Black"/>
    <n v="799"/>
    <n v="900"/>
    <n v="0.11"/>
    <m/>
    <x v="10"/>
    <n v="101"/>
    <x v="2"/>
    <x v="2"/>
  </r>
  <r>
    <s v="Wall-Mounted Toothbrush Toothpaste Holder With Multiple Slots"/>
    <n v="1468"/>
    <n v="1699"/>
    <n v="0.14000000000000001"/>
    <m/>
    <x v="10"/>
    <n v="231"/>
    <x v="2"/>
    <x v="2"/>
  </r>
  <r>
    <s v="Multifunctional Hanging Storage Box Storage Bag (4 Layers)"/>
    <n v="630"/>
    <n v="1100"/>
    <n v="0.43"/>
    <m/>
    <x v="10"/>
    <n v="470"/>
    <x v="2"/>
    <x v="1"/>
  </r>
  <r>
    <s v="Wall Clock With Hidden Safe Box"/>
    <n v="850"/>
    <n v="1700"/>
    <n v="0.5"/>
    <m/>
    <x v="10"/>
    <n v="850"/>
    <x v="2"/>
    <x v="1"/>
  </r>
  <r>
    <s v="Portable Wine Table With Folding Round Table"/>
    <n v="1300"/>
    <n v="2500"/>
    <n v="0.48"/>
    <m/>
    <x v="10"/>
    <n v="1200"/>
    <x v="2"/>
    <x v="1"/>
  </r>
  <r>
    <s v="Sewing Machine Needle Threader Stitch Insertion Tool Automatic Quick Sewing"/>
    <n v="105"/>
    <n v="200"/>
    <n v="0.48"/>
    <m/>
    <x v="10"/>
    <n v="95"/>
    <x v="2"/>
    <x v="1"/>
  </r>
  <r>
    <s v="6 Layers Steel Pipe Assembling Dustproof Storage Shoe Cabinet"/>
    <n v="899"/>
    <n v="1699"/>
    <n v="0.47"/>
    <m/>
    <x v="10"/>
    <n v="800"/>
    <x v="2"/>
    <x v="1"/>
  </r>
  <r>
    <s v="2PCS Ice Silk Square Cushion Cover Pillowcases - 65x65cm"/>
    <n v="1200"/>
    <n v="2400"/>
    <n v="0.5"/>
    <m/>
    <x v="10"/>
    <n v="1200"/>
    <x v="2"/>
    <x v="1"/>
  </r>
  <r>
    <s v="Wall Mount Automatic Toothpaste Dispenser Toothbrush Holder Toothpaste Squeezer"/>
    <n v="1526"/>
    <n v="1660"/>
    <n v="0.08"/>
    <m/>
    <x v="10"/>
    <n v="134"/>
    <x v="2"/>
    <x v="2"/>
  </r>
  <r>
    <s v="Portable Soap Dispenser Kitchen Detergent Press Box Kitchen Tools"/>
    <n v="1462"/>
    <n v="1499"/>
    <n v="0.02"/>
    <m/>
    <x v="10"/>
    <n v="37"/>
    <x v="2"/>
    <x v="2"/>
  </r>
  <r>
    <s v="4 Piece Coloured Stainless Steel Kitchenware Set"/>
    <n v="248"/>
    <n v="486"/>
    <n v="0.49"/>
    <m/>
    <x v="10"/>
    <n v="238"/>
    <x v="2"/>
    <x v="1"/>
  </r>
  <r>
    <s v="Metal Wall Clock Silver Dial Crystal Jewelry Round Home Decoration Wall Clock"/>
    <n v="3546"/>
    <n v="3699"/>
    <n v="0.04"/>
    <m/>
    <x v="10"/>
    <n v="153"/>
    <x v="2"/>
    <x v="2"/>
  </r>
  <r>
    <s v="Baby Early Education Shape And Color Cognitive Training Toys"/>
    <n v="525"/>
    <n v="1029"/>
    <n v="0.49"/>
    <m/>
    <x v="10"/>
    <n v="504"/>
    <x v="2"/>
    <x v="1"/>
  </r>
  <r>
    <s v="8in1 Screwdriver With LED Light"/>
    <n v="1080"/>
    <n v="1874"/>
    <n v="0.42"/>
    <m/>
    <x v="10"/>
    <n v="794"/>
    <x v="2"/>
    <x v="1"/>
  </r>
  <r>
    <s v="Konka Healty Electric Kettle 24-hour Heat Preservation1.5L800W White"/>
    <n v="3640"/>
    <n v="4588"/>
    <n v="0.21"/>
    <n v="-1"/>
    <x v="8"/>
    <n v="948"/>
    <x v="0"/>
    <x v="0"/>
  </r>
  <r>
    <s v="9pcs Gas Mask For Painting Dust Formaldehyde Grinding Polishing"/>
    <n v="1420"/>
    <n v="2420"/>
    <n v="0.41"/>
    <m/>
    <x v="10"/>
    <n v="1000"/>
    <x v="2"/>
    <x v="1"/>
  </r>
  <r>
    <s v="24 Grid Wall-mounted Sundries Organiser Fabric Closet Bag Storage Rack"/>
    <n v="1875"/>
    <n v="1899"/>
    <n v="0.01"/>
    <m/>
    <x v="10"/>
    <n v="24"/>
    <x v="2"/>
    <x v="2"/>
  </r>
  <r>
    <s v="1PC Refrigerator Food Seal Pocket Fridge Bags"/>
    <n v="198"/>
    <n v="260"/>
    <n v="0.24"/>
    <m/>
    <x v="10"/>
    <n v="62"/>
    <x v="2"/>
    <x v="0"/>
  </r>
  <r>
    <s v="LED Solar Street Light-fake Camera"/>
    <n v="1150"/>
    <n v="1737"/>
    <n v="0.34"/>
    <m/>
    <x v="10"/>
    <n v="587"/>
    <x v="2"/>
    <x v="0"/>
  </r>
  <r>
    <s v="Cartoon Embroidered Mini Towel Bear Cotton Wash Cloth Hand 4pcs"/>
    <n v="1190"/>
    <n v="1810"/>
    <n v="0.34"/>
    <m/>
    <x v="10"/>
    <n v="620"/>
    <x v="2"/>
    <x v="0"/>
  </r>
  <r>
    <s v="Shower Nozzle Cleaning Unclogging Needle Mini Crevice Small Hole Cleaning Brush"/>
    <n v="1658"/>
    <n v="1699"/>
    <n v="0.02"/>
    <m/>
    <x v="10"/>
    <n v="41"/>
    <x v="2"/>
    <x v="2"/>
  </r>
  <r>
    <s v="Thickening Multipurpose Non Stick Easy To Clean Heat Resistant Spoon Pad"/>
    <n v="1768"/>
    <n v="1799"/>
    <n v="0.02"/>
    <m/>
    <x v="10"/>
    <n v="31"/>
    <x v="2"/>
    <x v="2"/>
  </r>
  <r>
    <s v="6 In 1 Bottle Can Opener Multifunctional Easy Opener"/>
    <n v="199"/>
    <n v="553"/>
    <n v="0.64"/>
    <m/>
    <x v="10"/>
    <n v="354"/>
    <x v="2"/>
    <x v="1"/>
  </r>
  <r>
    <s v="Wall-mounted Sticker Punch-free Plug Fixer"/>
    <n v="450"/>
    <n v="900"/>
    <n v="0.5"/>
    <n v="-1"/>
    <x v="22"/>
    <n v="450"/>
    <x v="3"/>
    <x v="1"/>
  </r>
  <r>
    <s v="Black Simple Water Cup Wine Coaster Anti Slip Absorbent"/>
    <n v="169"/>
    <n v="320"/>
    <n v="0.47"/>
    <m/>
    <x v="10"/>
    <n v="151"/>
    <x v="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95:D199" firstHeaderRow="0" firstDataRow="1" firstDataCol="1"/>
  <pivotFields count="9">
    <pivotField showAll="0"/>
    <pivotField dataField="1" showAll="0"/>
    <pivotField showAll="0"/>
    <pivotField numFmtId="9" showAll="0"/>
    <pivotField dataField="1" showAll="0"/>
    <pivotField dataField="1" showAll="0"/>
    <pivotField showAll="0"/>
    <pivotField showAll="0"/>
    <pivotField axis="axisRow" showAll="0">
      <items count="4">
        <item x="1"/>
        <item x="2"/>
        <item x="0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Ratingd" fld="5" subtotal="average" baseField="8" baseItem="0"/>
    <dataField name="Average of Current price" fld="1" subtotal="average" baseField="8" baseItem="0"/>
    <dataField name="Average of Review" fld="4" subtotal="average" baseField="8" baseItem="0"/>
  </dataFields>
  <formats count="6">
    <format dxfId="49">
      <pivotArea type="all" dataOnly="0" outline="0" fieldPosition="0"/>
    </format>
    <format dxfId="48">
      <pivotArea outline="0" collapsedLevelsAreSubtotals="1" fieldPosition="0"/>
    </format>
    <format dxfId="47">
      <pivotArea field="8" type="button" dataOnly="0" labelOnly="1" outline="0" axis="axisRow" fieldPosition="0"/>
    </format>
    <format dxfId="46">
      <pivotArea dataOnly="0" labelOnly="1" fieldPosition="0">
        <references count="1">
          <reference field="8" count="0"/>
        </references>
      </pivotArea>
    </format>
    <format dxfId="45">
      <pivotArea dataOnly="0" labelOnly="1" grandRow="1" outline="0" fieldPosition="0"/>
    </format>
    <format dxfId="4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23:B127" firstHeaderRow="1" firstDataRow="1" firstDataCol="1"/>
  <pivotFields count="9">
    <pivotField showAll="0"/>
    <pivotField showAll="0"/>
    <pivotField showAll="0"/>
    <pivotField dataField="1" numFmtId="9"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Discount" fld="3" subtotal="average" baseField="8" baseItem="0" numFmtId="10"/>
  </dataFields>
  <formats count="8">
    <format dxfId="50">
      <pivotArea outline="0" collapsedLevelsAreSubtotals="1" fieldPosition="0"/>
    </format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8" type="button" dataOnly="0" labelOnly="1" outline="0" axis="axisRow" fieldPosition="0"/>
    </format>
    <format dxfId="10">
      <pivotArea dataOnly="0" labelOnly="1" outline="0" axis="axisValues" fieldPosition="0"/>
    </format>
    <format dxfId="9">
      <pivotArea dataOnly="0" labelOnly="1" fieldPosition="0">
        <references count="1">
          <reference field="8" count="0"/>
        </references>
      </pivotArea>
    </format>
    <format dxfId="8">
      <pivotArea dataOnly="0" labelOnly="1" grandRow="1" outline="0" fieldPosition="0"/>
    </format>
    <format dxfId="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13:D114" firstHeaderRow="0" firstDataRow="1" firstDataCol="0"/>
  <pivotFields count="9">
    <pivotField showAll="0"/>
    <pivotField dataField="1" showAll="0"/>
    <pivotField dataField="1" showAll="0"/>
    <pivotField dataField="1" numFmtId="9" showAll="0"/>
    <pivotField showAll="0"/>
    <pivotField dataField="1" showAll="0"/>
    <pivotField showAll="0"/>
    <pivotField showAll="0"/>
    <pivotField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Current price" fld="1" subtotal="average" baseField="0" baseItem="2104680160"/>
    <dataField name="Average of Ratingd" fld="5" subtotal="average" baseField="0" baseItem="1"/>
    <dataField name="Average of Discount" fld="3" subtotal="average" baseField="0" baseItem="1" numFmtId="10"/>
    <dataField name="Average of old price" fld="2" subtotal="average" baseField="0" baseItem="1"/>
  </dataFields>
  <formats count="4">
    <format dxfId="54">
      <pivotArea type="all" dataOnly="0" outline="0" fieldPosition="0"/>
    </format>
    <format dxfId="53">
      <pivotArea outline="0" collapsedLevelsAreSubtotals="1" fieldPosition="0"/>
    </format>
    <format dxfId="52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5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3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D123:E128" firstHeaderRow="1" firstDataRow="1" firstDataCol="1"/>
  <pivotFields count="9">
    <pivotField showAll="0"/>
    <pivotField showAll="0"/>
    <pivotField showAll="0"/>
    <pivotField numFmtId="9" showAll="0"/>
    <pivotField showAll="0"/>
    <pivotField dataField="1" showAll="0">
      <items count="24">
        <item x="22"/>
        <item x="15"/>
        <item x="19"/>
        <item x="20"/>
        <item x="13"/>
        <item x="21"/>
        <item x="17"/>
        <item x="16"/>
        <item x="18"/>
        <item x="14"/>
        <item x="9"/>
        <item x="6"/>
        <item x="5"/>
        <item x="1"/>
        <item x="7"/>
        <item x="12"/>
        <item x="11"/>
        <item x="0"/>
        <item x="2"/>
        <item x="3"/>
        <item x="4"/>
        <item x="8"/>
        <item x="10"/>
        <item t="default"/>
      </items>
    </pivotField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Ratingd" fld="5" subtotal="average" baseField="7" baseItem="0"/>
  </dataFields>
  <formats count="7">
    <format dxfId="6">
      <pivotArea type="all" dataOnly="0" outline="0" fieldPosition="0"/>
    </format>
    <format dxfId="5">
      <pivotArea outline="0" collapsedLevelsAreSubtotals="1" fieldPosition="0"/>
    </format>
    <format dxfId="4">
      <pivotArea field="7" type="button" dataOnly="0" labelOnly="1" outline="0" axis="axisRow" fieldPosition="0"/>
    </format>
    <format dxfId="3">
      <pivotArea dataOnly="0" labelOnly="1" outline="0" axis="axisValues" fieldPosition="0"/>
    </format>
    <format dxfId="2">
      <pivotArea dataOnly="0" labelOnly="1" fieldPosition="0">
        <references count="1">
          <reference field="7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20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4">
  <location ref="G2:H6" firstHeaderRow="1" firstDataRow="1" firstDataCol="1"/>
  <pivotFields count="9">
    <pivotField showAll="0"/>
    <pivotField showAll="0"/>
    <pivotField showAll="0"/>
    <pivotField numFmtId="9" showAll="0"/>
    <pivotField showAll="0"/>
    <pivotField showAll="0">
      <items count="24">
        <item x="22"/>
        <item x="15"/>
        <item x="19"/>
        <item x="20"/>
        <item x="13"/>
        <item x="21"/>
        <item x="17"/>
        <item x="16"/>
        <item x="18"/>
        <item x="14"/>
        <item x="9"/>
        <item x="6"/>
        <item x="5"/>
        <item x="1"/>
        <item x="7"/>
        <item x="12"/>
        <item x="11"/>
        <item x="0"/>
        <item x="2"/>
        <item x="3"/>
        <item x="4"/>
        <item x="8"/>
        <item x="10"/>
        <item t="default"/>
      </items>
    </pivotField>
    <pivotField showAll="0"/>
    <pivotField showAll="0">
      <items count="5">
        <item x="2"/>
        <item x="1"/>
        <item x="0"/>
        <item x="3"/>
        <item t="default"/>
      </items>
    </pivotField>
    <pivotField axis="axisRow" dataField="1" showAll="0">
      <items count="4">
        <item x="1"/>
        <item x="2"/>
        <item x="0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Discount % Category" fld="8" subtotal="count" baseField="0" baseItem="0"/>
  </dataFields>
  <formats count="5">
    <format dxfId="14">
      <pivotArea type="all" dataOnly="0" outline="0" fieldPosition="0"/>
    </format>
    <format dxfId="15">
      <pivotArea outline="0" collapsedLevelsAreSubtotals="1" fieldPosition="0"/>
    </format>
    <format dxfId="16">
      <pivotArea dataOnly="0" labelOnly="1" outline="0" axis="axisValues" fieldPosition="0"/>
    </format>
    <format dxfId="17">
      <pivotArea dataOnly="0" labelOnly="1" outline="0" axis="axisValues" fieldPosition="0"/>
    </format>
    <format dxfId="18">
      <pivotArea outline="0" collapsedLevelsAreSubtotals="1" fieldPosition="0"/>
    </format>
  </formats>
  <chartFormats count="4">
    <chartFormat chart="1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3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3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9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8">
  <location ref="D2:E7" firstHeaderRow="1" firstDataRow="1" firstDataCol="1"/>
  <pivotFields count="9">
    <pivotField showAll="0"/>
    <pivotField showAll="0"/>
    <pivotField showAll="0"/>
    <pivotField numFmtId="9" showAll="0"/>
    <pivotField showAll="0"/>
    <pivotField showAll="0">
      <items count="24">
        <item x="22"/>
        <item x="15"/>
        <item x="19"/>
        <item x="20"/>
        <item x="13"/>
        <item x="21"/>
        <item x="17"/>
        <item x="16"/>
        <item x="18"/>
        <item x="14"/>
        <item x="9"/>
        <item x="6"/>
        <item x="5"/>
        <item x="1"/>
        <item x="7"/>
        <item x="12"/>
        <item x="11"/>
        <item x="0"/>
        <item x="2"/>
        <item x="3"/>
        <item x="4"/>
        <item x="8"/>
        <item x="10"/>
        <item t="default"/>
      </items>
    </pivotField>
    <pivotField showAll="0"/>
    <pivotField axis="axisRow" dataField="1" showAll="0">
      <items count="5">
        <item x="2"/>
        <item x="1"/>
        <item x="0"/>
        <item x="3"/>
        <item t="default"/>
      </items>
    </pivotField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Rating Category" fld="7" subtotal="count" baseField="7" baseItem="0"/>
  </dataFields>
  <formats count="5">
    <format dxfId="19">
      <pivotArea type="all" dataOnly="0" outline="0" fieldPosition="0"/>
    </format>
    <format dxfId="20">
      <pivotArea outline="0" collapsedLevelsAreSubtotals="1" fieldPosition="0"/>
    </format>
    <format dxfId="21">
      <pivotArea dataOnly="0" labelOnly="1" outline="0" axis="axisValues" fieldPosition="0"/>
    </format>
    <format dxfId="22">
      <pivotArea dataOnly="0" labelOnly="1" outline="0" axis="axisValues" fieldPosition="0"/>
    </format>
    <format dxfId="23">
      <pivotArea outline="0" collapsedLevelsAreSubtotals="1" fieldPosition="0"/>
    </format>
  </formats>
  <chartFormats count="10"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8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4:A15" firstHeaderRow="1" firstDataRow="1" firstDataCol="0"/>
  <pivotFields count="9">
    <pivotField showAll="0"/>
    <pivotField showAll="0"/>
    <pivotField showAll="0"/>
    <pivotField numFmtId="9" showAll="0"/>
    <pivotField dataField="1"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Sum of Review" fld="4" baseField="0" baseItem="0"/>
  </dataFields>
  <formats count="5">
    <format dxfId="24">
      <pivotArea type="all" dataOnly="0" outline="0" fieldPosition="0"/>
    </format>
    <format dxfId="25">
      <pivotArea outline="0" collapsedLevelsAreSubtotals="1" fieldPosition="0"/>
    </format>
    <format dxfId="26">
      <pivotArea dataOnly="0" labelOnly="1" outline="0" axis="axisValues" fieldPosition="0"/>
    </format>
    <format dxfId="27">
      <pivotArea dataOnly="0" labelOnly="1" outline="0" axis="axisValues" fieldPosition="0"/>
    </format>
    <format dxfId="2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7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1:A12" firstHeaderRow="1" firstDataRow="1" firstDataCol="0"/>
  <pivotFields count="9">
    <pivotField showAll="0"/>
    <pivotField showAll="0"/>
    <pivotField showAll="0"/>
    <pivotField dataField="1" numFmtId="9"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Average of Discount" fld="3" subtotal="average" baseField="0" baseItem="0" numFmtId="10"/>
  </dataFields>
  <formats count="6">
    <format dxfId="30">
      <pivotArea type="all" dataOnly="0" outline="0" fieldPosition="0"/>
    </format>
    <format dxfId="31">
      <pivotArea outline="0" collapsedLevelsAreSubtotals="1" fieldPosition="0"/>
    </format>
    <format dxfId="32">
      <pivotArea dataOnly="0" labelOnly="1" outline="0" axis="axisValues" fieldPosition="0"/>
    </format>
    <format dxfId="33">
      <pivotArea dataOnly="0" labelOnly="1" outline="0" axis="axisValues" fieldPosition="0"/>
    </format>
    <format dxfId="34">
      <pivotArea outline="0" collapsedLevelsAreSubtotals="1" fieldPosition="0"/>
    </format>
    <format dxfId="2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6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7:A8" firstHeaderRow="1" firstDataRow="1" firstDataCol="0"/>
  <pivotFields count="9">
    <pivotField showAll="0"/>
    <pivotField showAll="0"/>
    <pivotField showAll="0"/>
    <pivotField numFmtId="9" showAll="0"/>
    <pivotField showAll="0"/>
    <pivotField dataField="1" showAll="0"/>
    <pivotField showAll="0"/>
    <pivotField showAll="0"/>
    <pivotField showAll="0"/>
  </pivotFields>
  <rowItems count="1">
    <i/>
  </rowItems>
  <colItems count="1">
    <i/>
  </colItems>
  <dataFields count="1">
    <dataField name="Average of Ratingd" fld="5" subtotal="average" baseField="0" baseItem="0" numFmtId="2"/>
  </dataFields>
  <formats count="5">
    <format dxfId="36">
      <pivotArea type="all" dataOnly="0" outline="0" fieldPosition="0"/>
    </format>
    <format dxfId="37">
      <pivotArea outline="0" collapsedLevelsAreSubtotals="1" fieldPosition="0"/>
    </format>
    <format dxfId="38">
      <pivotArea dataOnly="0" labelOnly="1" outline="0" axis="axisValues" fieldPosition="0"/>
    </format>
    <format dxfId="39">
      <pivotArea dataOnly="0" labelOnly="1" outline="0" axis="axisValues" fieldPosition="0"/>
    </format>
    <format dxfId="3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5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A4" firstHeaderRow="1" firstDataRow="1" firstDataCol="0"/>
  <pivotFields count="9">
    <pivotField dataField="1" showAll="0"/>
    <pivotField showAll="0"/>
    <pivotField showAll="0"/>
    <pivotField numFmtId="9"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Count of Product" fld="0" subtotal="count" baseField="0" baseItem="0"/>
  </dataFields>
  <formats count="4">
    <format dxfId="43">
      <pivotArea type="all" dataOnly="0" outline="0" fieldPosition="0"/>
    </format>
    <format dxfId="42">
      <pivotArea outline="0" collapsedLevelsAreSubtotals="1" fieldPosition="0"/>
    </format>
    <format dxfId="41">
      <pivotArea dataOnly="0" labelOnly="1" outline="0" axis="axisValues" fieldPosition="0"/>
    </format>
    <format dxfId="4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6" Type="http://schemas.openxmlformats.org/officeDocument/2006/relationships/pivotTable" Target="../pivotTables/pivotTable10.xml"/><Relationship Id="rId5" Type="http://schemas.openxmlformats.org/officeDocument/2006/relationships/pivotTable" Target="../pivotTables/pivotTable9.xml"/><Relationship Id="rId4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2"/>
  <sheetViews>
    <sheetView tabSelected="1" workbookViewId="0">
      <pane ySplit="1" topLeftCell="A2" activePane="bottomLeft" state="frozen"/>
      <selection pane="bottomLeft" activeCell="F145" sqref="F145:J145"/>
    </sheetView>
  </sheetViews>
  <sheetFormatPr defaultRowHeight="14.5" x14ac:dyDescent="0.35"/>
  <cols>
    <col min="1" max="1" width="31.81640625" customWidth="1"/>
    <col min="2" max="2" width="11.90625" style="8" customWidth="1"/>
    <col min="3" max="3" width="21.453125" style="8" customWidth="1"/>
    <col min="4" max="4" width="17.54296875" bestFit="1" customWidth="1"/>
    <col min="5" max="5" width="16.6328125" customWidth="1"/>
    <col min="6" max="6" width="10.26953125" customWidth="1"/>
    <col min="7" max="7" width="16.1796875" customWidth="1"/>
    <col min="8" max="8" width="14.08984375" customWidth="1"/>
    <col min="9" max="9" width="18.1796875" bestFit="1" customWidth="1"/>
  </cols>
  <sheetData>
    <row r="1" spans="1:9" s="1" customFormat="1" x14ac:dyDescent="0.35">
      <c r="A1" s="2" t="s">
        <v>0</v>
      </c>
      <c r="B1" s="7" t="s">
        <v>1</v>
      </c>
      <c r="C1" s="7" t="s">
        <v>2</v>
      </c>
      <c r="D1" s="2" t="s">
        <v>3</v>
      </c>
      <c r="E1" s="2" t="s">
        <v>4</v>
      </c>
      <c r="F1" s="2" t="s">
        <v>137</v>
      </c>
      <c r="G1" s="2" t="s">
        <v>116</v>
      </c>
      <c r="H1" s="2" t="s">
        <v>117</v>
      </c>
      <c r="I1" s="2" t="s">
        <v>118</v>
      </c>
    </row>
    <row r="2" spans="1:9" x14ac:dyDescent="0.35">
      <c r="A2" s="3" t="s">
        <v>35</v>
      </c>
      <c r="B2" s="11">
        <v>171</v>
      </c>
      <c r="C2" s="11">
        <v>360</v>
      </c>
      <c r="D2" s="4">
        <v>0.53</v>
      </c>
      <c r="E2" s="3">
        <v>2</v>
      </c>
      <c r="F2" s="9">
        <v>5</v>
      </c>
      <c r="G2" s="12">
        <f>C2-B2</f>
        <v>189</v>
      </c>
      <c r="H2" s="3" t="str">
        <f>IF(F2="","",IF(F2&lt;3,"Poor",IF(F2&gt;=4.5,"Excellent","Average")))</f>
        <v>Excellent</v>
      </c>
      <c r="I2" s="3" t="str">
        <f>IF(D2="","",IF(D2&lt;20%,"Low Discount",IF(D2&lt;=40%,"Medium Discount","High Discount")))</f>
        <v>High Discount</v>
      </c>
    </row>
    <row r="3" spans="1:9" x14ac:dyDescent="0.35">
      <c r="A3" s="3" t="s">
        <v>19</v>
      </c>
      <c r="B3" s="11">
        <v>332</v>
      </c>
      <c r="C3" s="11">
        <v>684</v>
      </c>
      <c r="D3" s="4">
        <v>0.51</v>
      </c>
      <c r="E3" s="3">
        <v>2</v>
      </c>
      <c r="F3" s="9">
        <v>5</v>
      </c>
      <c r="G3" s="12">
        <f>C3-B3</f>
        <v>352</v>
      </c>
      <c r="H3" s="3" t="str">
        <f>IF(F3="","",IF(F3&lt;3,"Poor",IF(F3&gt;=4.5,"Excellent","Average")))</f>
        <v>Excellent</v>
      </c>
      <c r="I3" s="3" t="str">
        <f>IF(D3="","",IF(D3&lt;20%,"Low Discount",IF(D3&lt;=40%,"Medium Discount","High Discount")))</f>
        <v>High Discount</v>
      </c>
    </row>
    <row r="4" spans="1:9" x14ac:dyDescent="0.35">
      <c r="A4" s="3" t="s">
        <v>21</v>
      </c>
      <c r="B4" s="11">
        <v>2025</v>
      </c>
      <c r="C4" s="11">
        <v>3971</v>
      </c>
      <c r="D4" s="4">
        <v>0.49</v>
      </c>
      <c r="E4" s="3">
        <v>3</v>
      </c>
      <c r="F4" s="9">
        <v>5</v>
      </c>
      <c r="G4" s="12">
        <f>C4-B4</f>
        <v>1946</v>
      </c>
      <c r="H4" s="3" t="str">
        <f>IF(F4="","",IF(F4&lt;3,"Poor",IF(F4&gt;=4.5,"Excellent","Average")))</f>
        <v>Excellent</v>
      </c>
      <c r="I4" s="3" t="str">
        <f>IF(D4="","",IF(D4&lt;20%,"Low Discount",IF(D4&lt;=40%,"Medium Discount","High Discount")))</f>
        <v>High Discount</v>
      </c>
    </row>
    <row r="5" spans="1:9" x14ac:dyDescent="0.35">
      <c r="A5" s="3" t="s">
        <v>72</v>
      </c>
      <c r="B5" s="11">
        <v>979</v>
      </c>
      <c r="C5" s="11">
        <v>1920</v>
      </c>
      <c r="D5" s="4">
        <v>0.49</v>
      </c>
      <c r="E5" s="3">
        <v>1</v>
      </c>
      <c r="F5" s="9">
        <v>5</v>
      </c>
      <c r="G5" s="12">
        <f>C5-B5</f>
        <v>941</v>
      </c>
      <c r="H5" s="3" t="str">
        <f>IF(F5="","",IF(F5&lt;3,"Poor",IF(F5&gt;=4.5,"Excellent","Average")))</f>
        <v>Excellent</v>
      </c>
      <c r="I5" s="3" t="str">
        <f>IF(D5="","",IF(D5&lt;20%,"Low Discount",IF(D5&lt;=40%,"Medium Discount","High Discount")))</f>
        <v>High Discount</v>
      </c>
    </row>
    <row r="6" spans="1:9" x14ac:dyDescent="0.35">
      <c r="A6" s="3" t="s">
        <v>20</v>
      </c>
      <c r="B6" s="11">
        <v>195</v>
      </c>
      <c r="C6" s="11">
        <v>360</v>
      </c>
      <c r="D6" s="4">
        <v>0.46</v>
      </c>
      <c r="E6" s="3">
        <v>2</v>
      </c>
      <c r="F6" s="9">
        <v>5</v>
      </c>
      <c r="G6" s="12">
        <f>C6-B6</f>
        <v>165</v>
      </c>
      <c r="H6" s="3" t="str">
        <f>IF(F6="","",IF(F6&lt;3,"Poor",IF(F6&gt;=4.5,"Excellent","Average")))</f>
        <v>Excellent</v>
      </c>
      <c r="I6" s="3" t="str">
        <f>IF(D6="","",IF(D6&lt;20%,"Low Discount",IF(D6&lt;=40%,"Medium Discount","High Discount")))</f>
        <v>High Discount</v>
      </c>
    </row>
    <row r="7" spans="1:9" x14ac:dyDescent="0.35">
      <c r="A7" s="3" t="s">
        <v>106</v>
      </c>
      <c r="B7" s="11">
        <v>1620</v>
      </c>
      <c r="C7" s="11">
        <v>2690</v>
      </c>
      <c r="D7" s="4">
        <v>0.4</v>
      </c>
      <c r="E7" s="3">
        <v>1</v>
      </c>
      <c r="F7" s="9">
        <v>5</v>
      </c>
      <c r="G7" s="12">
        <f>C7-B7</f>
        <v>1070</v>
      </c>
      <c r="H7" s="3" t="str">
        <f>IF(F7="","",IF(F7&lt;3,"Poor",IF(F7&gt;=4.5,"Excellent","Average")))</f>
        <v>Excellent</v>
      </c>
      <c r="I7" s="3" t="str">
        <f>IF(D7="","",IF(D7&lt;20%,"Low Discount",IF(D7&lt;=40%,"Medium Discount","High Discount")))</f>
        <v>Medium Discount</v>
      </c>
    </row>
    <row r="8" spans="1:9" x14ac:dyDescent="0.35">
      <c r="A8" s="3" t="s">
        <v>114</v>
      </c>
      <c r="B8" s="11">
        <v>3640</v>
      </c>
      <c r="C8" s="11">
        <v>4588</v>
      </c>
      <c r="D8" s="4">
        <v>0.21</v>
      </c>
      <c r="E8" s="3">
        <v>1</v>
      </c>
      <c r="F8" s="9">
        <v>5</v>
      </c>
      <c r="G8" s="12">
        <f>C8-B8</f>
        <v>948</v>
      </c>
      <c r="H8" s="3" t="str">
        <f>IF(F8="","",IF(F8&lt;3,"Poor",IF(F8&gt;=4.5,"Excellent","Average")))</f>
        <v>Excellent</v>
      </c>
      <c r="I8" s="3" t="str">
        <f>IF(D8="","",IF(D8&lt;20%,"Low Discount",IF(D8&lt;=40%,"Medium Discount","High Discount")))</f>
        <v>Medium Discount</v>
      </c>
    </row>
    <row r="9" spans="1:9" x14ac:dyDescent="0.35">
      <c r="A9" s="3" t="s">
        <v>12</v>
      </c>
      <c r="B9" s="11">
        <v>1274</v>
      </c>
      <c r="C9" s="11">
        <v>2800</v>
      </c>
      <c r="D9" s="4">
        <v>0.55000000000000004</v>
      </c>
      <c r="E9" s="3">
        <v>5</v>
      </c>
      <c r="F9" s="9">
        <v>4.8</v>
      </c>
      <c r="G9" s="12">
        <f>C9-B9</f>
        <v>1526</v>
      </c>
      <c r="H9" s="3" t="str">
        <f>IF(F9="","",IF(F9&lt;3,"Poor",IF(F9&gt;=4.5,"Excellent","Average")))</f>
        <v>Excellent</v>
      </c>
      <c r="I9" s="3" t="str">
        <f>IF(D9="","",IF(D9&lt;20%,"Low Discount",IF(D9&lt;=40%,"Medium Discount","High Discount")))</f>
        <v>High Discount</v>
      </c>
    </row>
    <row r="10" spans="1:9" x14ac:dyDescent="0.35">
      <c r="A10" s="3" t="s">
        <v>16</v>
      </c>
      <c r="B10" s="11">
        <v>552</v>
      </c>
      <c r="C10" s="11">
        <v>1035</v>
      </c>
      <c r="D10" s="4">
        <v>0.47</v>
      </c>
      <c r="E10" s="3">
        <v>12</v>
      </c>
      <c r="F10" s="9">
        <v>4.8</v>
      </c>
      <c r="G10" s="12">
        <f>C10-B10</f>
        <v>483</v>
      </c>
      <c r="H10" s="3" t="str">
        <f>IF(F10="","",IF(F10&lt;3,"Poor",IF(F10&gt;=4.5,"Excellent","Average")))</f>
        <v>Excellent</v>
      </c>
      <c r="I10" s="3" t="str">
        <f>IF(D10="","",IF(D10&lt;20%,"Low Discount",IF(D10&lt;=40%,"Medium Discount","High Discount")))</f>
        <v>High Discount</v>
      </c>
    </row>
    <row r="11" spans="1:9" x14ac:dyDescent="0.35">
      <c r="A11" s="3" t="s">
        <v>9</v>
      </c>
      <c r="B11" s="11">
        <v>1740</v>
      </c>
      <c r="C11" s="11">
        <v>2356</v>
      </c>
      <c r="D11" s="4">
        <v>0.26</v>
      </c>
      <c r="E11" s="3">
        <v>5</v>
      </c>
      <c r="F11" s="9">
        <v>4.8</v>
      </c>
      <c r="G11" s="12">
        <f>C11-B11</f>
        <v>616</v>
      </c>
      <c r="H11" s="3" t="str">
        <f>IF(F11="","",IF(F11&lt;3,"Poor",IF(F11&gt;=4.5,"Excellent","Average")))</f>
        <v>Excellent</v>
      </c>
      <c r="I11" s="3" t="str">
        <f>IF(D11="","",IF(D11&lt;20%,"Low Discount",IF(D11&lt;=40%,"Medium Discount","High Discount")))</f>
        <v>Medium Discount</v>
      </c>
    </row>
    <row r="12" spans="1:9" x14ac:dyDescent="0.35">
      <c r="A12" s="3" t="s">
        <v>8</v>
      </c>
      <c r="B12" s="11">
        <v>1580</v>
      </c>
      <c r="C12" s="11">
        <v>2499</v>
      </c>
      <c r="D12" s="4">
        <v>0.37</v>
      </c>
      <c r="E12" s="3">
        <v>7</v>
      </c>
      <c r="F12" s="9">
        <v>4.7</v>
      </c>
      <c r="G12" s="12">
        <f>C12-B12</f>
        <v>919</v>
      </c>
      <c r="H12" s="3" t="str">
        <f>IF(F12="","",IF(F12&lt;3,"Poor",IF(F12&gt;=4.5,"Excellent","Average")))</f>
        <v>Excellent</v>
      </c>
      <c r="I12" s="3" t="str">
        <f>IF(D12="","",IF(D12&lt;20%,"Low Discount",IF(D12&lt;=40%,"Medium Discount","High Discount")))</f>
        <v>Medium Discount</v>
      </c>
    </row>
    <row r="13" spans="1:9" x14ac:dyDescent="0.35">
      <c r="A13" s="3" t="s">
        <v>15</v>
      </c>
      <c r="B13" s="11">
        <v>990</v>
      </c>
      <c r="C13" s="11">
        <v>1500</v>
      </c>
      <c r="D13" s="4">
        <v>0.34</v>
      </c>
      <c r="E13" s="3">
        <v>39</v>
      </c>
      <c r="F13" s="9">
        <v>4.7</v>
      </c>
      <c r="G13" s="12">
        <f>C13-B13</f>
        <v>510</v>
      </c>
      <c r="H13" s="3" t="str">
        <f>IF(F13="","",IF(F13&lt;3,"Poor",IF(F13&gt;=4.5,"Excellent","Average")))</f>
        <v>Excellent</v>
      </c>
      <c r="I13" s="3" t="str">
        <f>IF(D13="","",IF(D13&lt;20%,"Low Discount",IF(D13&lt;=40%,"Medium Discount","High Discount")))</f>
        <v>Medium Discount</v>
      </c>
    </row>
    <row r="14" spans="1:9" x14ac:dyDescent="0.35">
      <c r="A14" s="3" t="s">
        <v>32</v>
      </c>
      <c r="B14" s="11">
        <v>980</v>
      </c>
      <c r="C14" s="11">
        <v>1490</v>
      </c>
      <c r="D14" s="4">
        <v>0.34</v>
      </c>
      <c r="E14" s="3">
        <v>12</v>
      </c>
      <c r="F14" s="9">
        <v>4.7</v>
      </c>
      <c r="G14" s="12">
        <f>C14-B14</f>
        <v>510</v>
      </c>
      <c r="H14" s="3" t="str">
        <f>IF(F14="","",IF(F14&lt;3,"Poor",IF(F14&gt;=4.5,"Excellent","Average")))</f>
        <v>Excellent</v>
      </c>
      <c r="I14" s="3" t="str">
        <f>IF(D14="","",IF(D14&lt;20%,"Low Discount",IF(D14&lt;=40%,"Medium Discount","High Discount")))</f>
        <v>Medium Discount</v>
      </c>
    </row>
    <row r="15" spans="1:9" x14ac:dyDescent="0.35">
      <c r="A15" s="3" t="s">
        <v>33</v>
      </c>
      <c r="B15" s="11">
        <v>1940</v>
      </c>
      <c r="C15" s="11">
        <v>2650</v>
      </c>
      <c r="D15" s="4">
        <v>0.27</v>
      </c>
      <c r="E15" s="3">
        <v>20</v>
      </c>
      <c r="F15" s="9">
        <v>4.7</v>
      </c>
      <c r="G15" s="12">
        <f>C15-B15</f>
        <v>710</v>
      </c>
      <c r="H15" s="3" t="str">
        <f>IF(F15="","",IF(F15&lt;3,"Poor",IF(F15&gt;=4.5,"Excellent","Average")))</f>
        <v>Excellent</v>
      </c>
      <c r="I15" s="3" t="str">
        <f>IF(D15="","",IF(D15&lt;20%,"Low Discount",IF(D15&lt;=40%,"Medium Discount","High Discount")))</f>
        <v>Medium Discount</v>
      </c>
    </row>
    <row r="16" spans="1:9" x14ac:dyDescent="0.35">
      <c r="A16" s="3" t="s">
        <v>23</v>
      </c>
      <c r="B16" s="11">
        <v>998</v>
      </c>
      <c r="C16" s="11">
        <v>1966</v>
      </c>
      <c r="D16" s="4">
        <v>0.49</v>
      </c>
      <c r="E16" s="3">
        <v>44</v>
      </c>
      <c r="F16" s="9">
        <v>4.5999999999999996</v>
      </c>
      <c r="G16" s="12">
        <f>C16-B16</f>
        <v>968</v>
      </c>
      <c r="H16" s="3" t="str">
        <f>IF(F16="","",IF(F16&lt;3,"Poor",IF(F16&gt;=4.5,"Excellent","Average")))</f>
        <v>Excellent</v>
      </c>
      <c r="I16" s="3" t="str">
        <f>IF(D16="","",IF(D16&lt;20%,"Low Discount",IF(D16&lt;=40%,"Medium Discount","High Discount")))</f>
        <v>High Discount</v>
      </c>
    </row>
    <row r="17" spans="1:9" x14ac:dyDescent="0.35">
      <c r="A17" s="3" t="s">
        <v>27</v>
      </c>
      <c r="B17" s="11">
        <v>420</v>
      </c>
      <c r="C17" s="11">
        <v>647</v>
      </c>
      <c r="D17" s="4">
        <v>0.35</v>
      </c>
      <c r="E17" s="3">
        <v>49</v>
      </c>
      <c r="F17" s="9">
        <v>4.5999999999999996</v>
      </c>
      <c r="G17" s="12">
        <f>C17-B17</f>
        <v>227</v>
      </c>
      <c r="H17" s="3" t="str">
        <f>IF(F17="","",IF(F17&lt;3,"Poor",IF(F17&gt;=4.5,"Excellent","Average")))</f>
        <v>Excellent</v>
      </c>
      <c r="I17" s="3" t="str">
        <f>IF(D17="","",IF(D17&lt;20%,"Low Discount",IF(D17&lt;=40%,"Medium Discount","High Discount")))</f>
        <v>Medium Discount</v>
      </c>
    </row>
    <row r="18" spans="1:9" x14ac:dyDescent="0.35">
      <c r="A18" s="3" t="s">
        <v>7</v>
      </c>
      <c r="B18" s="11">
        <v>2199</v>
      </c>
      <c r="C18" s="11">
        <v>2923</v>
      </c>
      <c r="D18" s="4">
        <v>0.25</v>
      </c>
      <c r="E18" s="3">
        <v>24</v>
      </c>
      <c r="F18" s="9">
        <v>4.5999999999999996</v>
      </c>
      <c r="G18" s="12">
        <f>C18-B18</f>
        <v>724</v>
      </c>
      <c r="H18" s="3" t="str">
        <f>IF(F18="","",IF(F18&lt;3,"Poor",IF(F18&gt;=4.5,"Excellent","Average")))</f>
        <v>Excellent</v>
      </c>
      <c r="I18" s="3" t="str">
        <f>IF(D18="","",IF(D18&lt;20%,"Low Discount",IF(D18&lt;=40%,"Medium Discount","High Discount")))</f>
        <v>Medium Discount</v>
      </c>
    </row>
    <row r="19" spans="1:9" x14ac:dyDescent="0.35">
      <c r="A19" s="3" t="s">
        <v>10</v>
      </c>
      <c r="B19" s="11">
        <v>2319</v>
      </c>
      <c r="C19" s="11">
        <v>3032</v>
      </c>
      <c r="D19" s="4">
        <v>0.24</v>
      </c>
      <c r="E19" s="3">
        <v>55</v>
      </c>
      <c r="F19" s="9">
        <v>4.5999999999999996</v>
      </c>
      <c r="G19" s="12">
        <f>C19-B19</f>
        <v>713</v>
      </c>
      <c r="H19" s="3" t="str">
        <f>IF(F19="","",IF(F19&lt;3,"Poor",IF(F19&gt;=4.5,"Excellent","Average")))</f>
        <v>Excellent</v>
      </c>
      <c r="I19" s="3" t="str">
        <f>IF(D19="","",IF(D19&lt;20%,"Low Discount",IF(D19&lt;=40%,"Medium Discount","High Discount")))</f>
        <v>Medium Discount</v>
      </c>
    </row>
    <row r="20" spans="1:9" x14ac:dyDescent="0.35">
      <c r="A20" s="3" t="s">
        <v>22</v>
      </c>
      <c r="B20" s="11">
        <v>2999</v>
      </c>
      <c r="C20" s="11">
        <v>3699</v>
      </c>
      <c r="D20" s="4">
        <v>0.19</v>
      </c>
      <c r="E20" s="3">
        <v>5</v>
      </c>
      <c r="F20" s="9">
        <v>4.5999999999999996</v>
      </c>
      <c r="G20" s="12">
        <f>C20-B20</f>
        <v>700</v>
      </c>
      <c r="H20" s="3" t="str">
        <f>IF(F20="","",IF(F20&lt;3,"Poor",IF(F20&gt;=4.5,"Excellent","Average")))</f>
        <v>Excellent</v>
      </c>
      <c r="I20" s="3" t="str">
        <f>IF(D20="","",IF(D20&lt;20%,"Low Discount",IF(D20&lt;=40%,"Medium Discount","High Discount")))</f>
        <v>Low Discount</v>
      </c>
    </row>
    <row r="21" spans="1:9" x14ac:dyDescent="0.35">
      <c r="A21" s="3" t="s">
        <v>17</v>
      </c>
      <c r="B21" s="11">
        <v>501</v>
      </c>
      <c r="C21" s="11">
        <v>860</v>
      </c>
      <c r="D21" s="4">
        <v>0.42</v>
      </c>
      <c r="E21" s="3">
        <v>6</v>
      </c>
      <c r="F21" s="9">
        <v>4.5</v>
      </c>
      <c r="G21" s="12">
        <f>C21-B21</f>
        <v>359</v>
      </c>
      <c r="H21" s="3" t="str">
        <f>IF(F21="","",IF(F21&lt;3,"Poor",IF(F21&gt;=4.5,"Excellent","Average")))</f>
        <v>Excellent</v>
      </c>
      <c r="I21" s="3" t="str">
        <f>IF(D21="","",IF(D21&lt;20%,"Low Discount",IF(D21&lt;=40%,"Medium Discount","High Discount")))</f>
        <v>High Discount</v>
      </c>
    </row>
    <row r="22" spans="1:9" x14ac:dyDescent="0.35">
      <c r="A22" s="3" t="s">
        <v>5</v>
      </c>
      <c r="B22" s="11">
        <v>950</v>
      </c>
      <c r="C22" s="11">
        <v>1525</v>
      </c>
      <c r="D22" s="4">
        <v>0.38</v>
      </c>
      <c r="E22" s="3">
        <v>2</v>
      </c>
      <c r="F22" s="9">
        <v>4.5</v>
      </c>
      <c r="G22" s="12">
        <f>C22-B22</f>
        <v>575</v>
      </c>
      <c r="H22" s="3" t="str">
        <f>IF(F22="","",IF(F22&lt;3,"Poor",IF(F22&gt;=4.5,"Excellent","Average")))</f>
        <v>Excellent</v>
      </c>
      <c r="I22" s="3" t="str">
        <f>IF(D22="","",IF(D22&lt;20%,"Low Discount",IF(D22&lt;=40%,"Medium Discount","High Discount")))</f>
        <v>Medium Discount</v>
      </c>
    </row>
    <row r="23" spans="1:9" x14ac:dyDescent="0.35">
      <c r="A23" s="3" t="s">
        <v>107</v>
      </c>
      <c r="B23" s="11" t="s">
        <v>108</v>
      </c>
      <c r="C23" s="11" t="s">
        <v>109</v>
      </c>
      <c r="D23" s="4">
        <v>0.38</v>
      </c>
      <c r="E23" s="3">
        <v>2</v>
      </c>
      <c r="F23" s="9">
        <v>4.5</v>
      </c>
      <c r="G23" s="12" t="e">
        <f>C23-B23</f>
        <v>#VALUE!</v>
      </c>
      <c r="H23" s="3" t="str">
        <f>IF(F23="","",IF(F23&lt;3,"Poor",IF(F23&gt;=4.5,"Excellent","Average")))</f>
        <v>Excellent</v>
      </c>
      <c r="I23" s="3" t="str">
        <f>IF(D23="","",IF(D23&lt;20%,"Low Discount",IF(D23&lt;=40%,"Medium Discount","High Discount")))</f>
        <v>Medium Discount</v>
      </c>
    </row>
    <row r="24" spans="1:9" x14ac:dyDescent="0.35">
      <c r="A24" s="3" t="s">
        <v>34</v>
      </c>
      <c r="B24" s="11">
        <v>1980</v>
      </c>
      <c r="C24" s="11">
        <v>2699</v>
      </c>
      <c r="D24" s="4">
        <v>0.27</v>
      </c>
      <c r="E24" s="3">
        <v>32</v>
      </c>
      <c r="F24" s="9">
        <v>4.5</v>
      </c>
      <c r="G24" s="12">
        <f>C24-B24</f>
        <v>719</v>
      </c>
      <c r="H24" s="3" t="str">
        <f>IF(F24="","",IF(F24&lt;3,"Poor",IF(F24&gt;=4.5,"Excellent","Average")))</f>
        <v>Excellent</v>
      </c>
      <c r="I24" s="3" t="str">
        <f>IF(D24="","",IF(D24&lt;20%,"Low Discount",IF(D24&lt;=40%,"Medium Discount","High Discount")))</f>
        <v>Medium Discount</v>
      </c>
    </row>
    <row r="25" spans="1:9" x14ac:dyDescent="0.35">
      <c r="A25" s="3" t="s">
        <v>25</v>
      </c>
      <c r="B25" s="11">
        <v>1650</v>
      </c>
      <c r="C25" s="11">
        <v>2150</v>
      </c>
      <c r="D25" s="4">
        <v>0.23</v>
      </c>
      <c r="E25" s="3">
        <v>14</v>
      </c>
      <c r="F25" s="9">
        <v>4.4000000000000004</v>
      </c>
      <c r="G25" s="12">
        <f>C25-B25</f>
        <v>500</v>
      </c>
      <c r="H25" s="3" t="str">
        <f>IF(F25="","",IF(F25&lt;3,"Poor",IF(F25&gt;=4.5,"Excellent","Average")))</f>
        <v>Average</v>
      </c>
      <c r="I25" s="3" t="str">
        <f>IF(D25="","",IF(D25&lt;20%,"Low Discount",IF(D25&lt;=40%,"Medium Discount","High Discount")))</f>
        <v>Medium Discount</v>
      </c>
    </row>
    <row r="26" spans="1:9" x14ac:dyDescent="0.35">
      <c r="A26" s="3" t="s">
        <v>26</v>
      </c>
      <c r="B26" s="11">
        <v>2048</v>
      </c>
      <c r="C26" s="11">
        <v>4500</v>
      </c>
      <c r="D26" s="4">
        <v>0.54</v>
      </c>
      <c r="E26" s="3">
        <v>7</v>
      </c>
      <c r="F26" s="9">
        <v>4.3</v>
      </c>
      <c r="G26" s="12">
        <f>C26-B26</f>
        <v>2452</v>
      </c>
      <c r="H26" s="3" t="str">
        <f>IF(F26="","",IF(F26&lt;3,"Poor",IF(F26&gt;=4.5,"Excellent","Average")))</f>
        <v>Average</v>
      </c>
      <c r="I26" s="3" t="str">
        <f>IF(D26="","",IF(D26&lt;20%,"Low Discount",IF(D26&lt;=40%,"Medium Discount","High Discount")))</f>
        <v>High Discount</v>
      </c>
    </row>
    <row r="27" spans="1:9" x14ac:dyDescent="0.35">
      <c r="A27" s="3" t="s">
        <v>31</v>
      </c>
      <c r="B27" s="11">
        <v>185</v>
      </c>
      <c r="C27" s="11">
        <v>382</v>
      </c>
      <c r="D27" s="4">
        <v>0.52</v>
      </c>
      <c r="E27" s="3">
        <v>9</v>
      </c>
      <c r="F27" s="9">
        <v>4.3</v>
      </c>
      <c r="G27" s="12">
        <f>C27-B27</f>
        <v>197</v>
      </c>
      <c r="H27" s="3" t="str">
        <f>IF(F27="","",IF(F27&lt;3,"Poor",IF(F27&gt;=4.5,"Excellent","Average")))</f>
        <v>Average</v>
      </c>
      <c r="I27" s="3" t="str">
        <f>IF(D27="","",IF(D27&lt;20%,"Low Discount",IF(D27&lt;=40%,"Medium Discount","High Discount")))</f>
        <v>High Discount</v>
      </c>
    </row>
    <row r="28" spans="1:9" x14ac:dyDescent="0.35">
      <c r="A28" s="3" t="s">
        <v>105</v>
      </c>
      <c r="B28" s="11">
        <v>1820</v>
      </c>
      <c r="C28" s="11">
        <v>3490</v>
      </c>
      <c r="D28" s="4">
        <v>0.48</v>
      </c>
      <c r="E28" s="3">
        <v>9</v>
      </c>
      <c r="F28" s="9">
        <v>4.3</v>
      </c>
      <c r="G28" s="12">
        <f>C28-B28</f>
        <v>1670</v>
      </c>
      <c r="H28" s="3" t="str">
        <f>IF(F28="","",IF(F28&lt;3,"Poor",IF(F28&gt;=4.5,"Excellent","Average")))</f>
        <v>Average</v>
      </c>
      <c r="I28" s="3" t="str">
        <f>IF(D28="","",IF(D28&lt;20%,"Low Discount",IF(D28&lt;=40%,"Medium Discount","High Discount")))</f>
        <v>High Discount</v>
      </c>
    </row>
    <row r="29" spans="1:9" x14ac:dyDescent="0.35">
      <c r="A29" s="3" t="s">
        <v>36</v>
      </c>
      <c r="B29" s="11">
        <v>389</v>
      </c>
      <c r="C29" s="11">
        <v>656</v>
      </c>
      <c r="D29" s="4">
        <v>0.41</v>
      </c>
      <c r="E29" s="3">
        <v>36</v>
      </c>
      <c r="F29" s="9">
        <v>4.3</v>
      </c>
      <c r="G29" s="12">
        <f>C29-B29</f>
        <v>267</v>
      </c>
      <c r="H29" s="3" t="str">
        <f>IF(F29="","",IF(F29&lt;3,"Poor",IF(F29&gt;=4.5,"Excellent","Average")))</f>
        <v>Average</v>
      </c>
      <c r="I29" s="3" t="str">
        <f>IF(D29="","",IF(D29&lt;20%,"Low Discount",IF(D29&lt;=40%,"Medium Discount","High Discount")))</f>
        <v>High Discount</v>
      </c>
    </row>
    <row r="30" spans="1:9" x14ac:dyDescent="0.35">
      <c r="A30" s="3" t="s">
        <v>18</v>
      </c>
      <c r="B30" s="11">
        <v>1680</v>
      </c>
      <c r="C30" s="11">
        <v>2499</v>
      </c>
      <c r="D30" s="4">
        <v>0.33</v>
      </c>
      <c r="E30" s="3">
        <v>9</v>
      </c>
      <c r="F30" s="9">
        <v>4.2</v>
      </c>
      <c r="G30" s="12">
        <f>C30-B30</f>
        <v>819</v>
      </c>
      <c r="H30" s="3" t="str">
        <f>IF(F30="","",IF(F30&lt;3,"Poor",IF(F30&gt;=4.5,"Excellent","Average")))</f>
        <v>Average</v>
      </c>
      <c r="I30" s="3" t="str">
        <f>IF(D30="","",IF(D30&lt;20%,"Low Discount",IF(D30&lt;=40%,"Medium Discount","High Discount")))</f>
        <v>Medium Discount</v>
      </c>
    </row>
    <row r="31" spans="1:9" x14ac:dyDescent="0.35">
      <c r="A31" s="3" t="s">
        <v>6</v>
      </c>
      <c r="B31" s="11">
        <v>527</v>
      </c>
      <c r="C31" s="11">
        <v>999</v>
      </c>
      <c r="D31" s="4">
        <v>0.47</v>
      </c>
      <c r="E31" s="3">
        <v>14</v>
      </c>
      <c r="F31" s="9">
        <v>4.0999999999999996</v>
      </c>
      <c r="G31" s="12">
        <f>C31-B31</f>
        <v>472</v>
      </c>
      <c r="H31" s="3" t="str">
        <f>IF(F31="","",IF(F31&lt;3,"Poor",IF(F31&gt;=4.5,"Excellent","Average")))</f>
        <v>Average</v>
      </c>
      <c r="I31" s="3" t="str">
        <f>IF(D31="","",IF(D31&lt;20%,"Low Discount",IF(D31&lt;=40%,"Medium Discount","High Discount")))</f>
        <v>High Discount</v>
      </c>
    </row>
    <row r="32" spans="1:9" x14ac:dyDescent="0.35">
      <c r="A32" s="3" t="s">
        <v>30</v>
      </c>
      <c r="B32" s="11">
        <v>1758</v>
      </c>
      <c r="C32" s="11">
        <v>2499</v>
      </c>
      <c r="D32" s="4">
        <v>0.3</v>
      </c>
      <c r="E32" s="3">
        <v>20</v>
      </c>
      <c r="F32" s="9">
        <v>4.0999999999999996</v>
      </c>
      <c r="G32" s="12">
        <f>C32-B32</f>
        <v>741</v>
      </c>
      <c r="H32" s="3" t="str">
        <f>IF(F32="","",IF(F32&lt;3,"Poor",IF(F32&gt;=4.5,"Excellent","Average")))</f>
        <v>Average</v>
      </c>
      <c r="I32" s="3" t="str">
        <f>IF(D32="","",IF(D32&lt;20%,"Low Discount",IF(D32&lt;=40%,"Medium Discount","High Discount")))</f>
        <v>Medium Discount</v>
      </c>
    </row>
    <row r="33" spans="1:9" x14ac:dyDescent="0.35">
      <c r="A33" s="3" t="s">
        <v>14</v>
      </c>
      <c r="B33" s="11">
        <v>799</v>
      </c>
      <c r="C33" s="11">
        <v>999</v>
      </c>
      <c r="D33" s="4">
        <v>0.2</v>
      </c>
      <c r="E33" s="3">
        <v>12</v>
      </c>
      <c r="F33" s="9">
        <v>4.0999999999999996</v>
      </c>
      <c r="G33" s="12">
        <f>C33-B33</f>
        <v>200</v>
      </c>
      <c r="H33" s="3" t="str">
        <f>IF(F33="","",IF(F33&lt;3,"Poor",IF(F33&gt;=4.5,"Excellent","Average")))</f>
        <v>Average</v>
      </c>
      <c r="I33" s="3" t="str">
        <f>IF(D33="","",IF(D33&lt;20%,"Low Discount",IF(D33&lt;=40%,"Medium Discount","High Discount")))</f>
        <v>Medium Discount</v>
      </c>
    </row>
    <row r="34" spans="1:9" x14ac:dyDescent="0.35">
      <c r="A34" s="3" t="s">
        <v>75</v>
      </c>
      <c r="B34" s="11">
        <v>330</v>
      </c>
      <c r="C34" s="11">
        <v>647</v>
      </c>
      <c r="D34" s="4">
        <v>0.49</v>
      </c>
      <c r="E34" s="3">
        <v>1</v>
      </c>
      <c r="F34" s="9">
        <v>4</v>
      </c>
      <c r="G34" s="12">
        <f>C34-B34</f>
        <v>317</v>
      </c>
      <c r="H34" s="3" t="str">
        <f>IF(F34="","",IF(F34&lt;3,"Poor",IF(F34&gt;=4.5,"Excellent","Average")))</f>
        <v>Average</v>
      </c>
      <c r="I34" s="3" t="str">
        <f>IF(D34="","",IF(D34&lt;20%,"Low Discount",IF(D34&lt;=40%,"Medium Discount","High Discount")))</f>
        <v>High Discount</v>
      </c>
    </row>
    <row r="35" spans="1:9" x14ac:dyDescent="0.35">
      <c r="A35" s="3" t="s">
        <v>11</v>
      </c>
      <c r="B35" s="11">
        <v>988</v>
      </c>
      <c r="C35" s="11">
        <v>1580</v>
      </c>
      <c r="D35" s="4">
        <v>0.37</v>
      </c>
      <c r="E35" s="3">
        <v>2</v>
      </c>
      <c r="F35" s="9">
        <v>4</v>
      </c>
      <c r="G35" s="12">
        <f>C35-B35</f>
        <v>592</v>
      </c>
      <c r="H35" s="3" t="str">
        <f>IF(F35="","",IF(F35&lt;3,"Poor",IF(F35&gt;=4.5,"Excellent","Average")))</f>
        <v>Average</v>
      </c>
      <c r="I35" s="3" t="str">
        <f>IF(D35="","",IF(D35&lt;20%,"Low Discount",IF(D35&lt;=40%,"Medium Discount","High Discount")))</f>
        <v>Medium Discount</v>
      </c>
    </row>
    <row r="36" spans="1:9" x14ac:dyDescent="0.35">
      <c r="A36" s="3" t="s">
        <v>104</v>
      </c>
      <c r="B36" s="11">
        <v>880</v>
      </c>
      <c r="C36" s="11">
        <v>1350</v>
      </c>
      <c r="D36" s="4">
        <v>0.35</v>
      </c>
      <c r="E36" s="3">
        <v>6</v>
      </c>
      <c r="F36" s="9">
        <v>4</v>
      </c>
      <c r="G36" s="12">
        <f>C36-B36</f>
        <v>470</v>
      </c>
      <c r="H36" s="3" t="str">
        <f>IF(F36="","",IF(F36&lt;3,"Poor",IF(F36&gt;=4.5,"Excellent","Average")))</f>
        <v>Average</v>
      </c>
      <c r="I36" s="3" t="str">
        <f>IF(D36="","",IF(D36&lt;20%,"Low Discount",IF(D36&lt;=40%,"Medium Discount","High Discount")))</f>
        <v>Medium Discount</v>
      </c>
    </row>
    <row r="37" spans="1:9" x14ac:dyDescent="0.35">
      <c r="A37" s="3" t="s">
        <v>102</v>
      </c>
      <c r="B37" s="11">
        <v>2999</v>
      </c>
      <c r="C37" s="11">
        <v>3290</v>
      </c>
      <c r="D37" s="4">
        <v>0.09</v>
      </c>
      <c r="E37" s="3">
        <v>15</v>
      </c>
      <c r="F37" s="9">
        <v>4</v>
      </c>
      <c r="G37" s="12">
        <f>C37-B37</f>
        <v>291</v>
      </c>
      <c r="H37" s="3" t="str">
        <f>IF(F37="","",IF(F37&lt;3,"Poor",IF(F37&gt;=4.5,"Excellent","Average")))</f>
        <v>Average</v>
      </c>
      <c r="I37" s="3" t="str">
        <f>IF(D37="","",IF(D37&lt;20%,"Low Discount",IF(D37&lt;=40%,"Medium Discount","High Discount")))</f>
        <v>Low Discount</v>
      </c>
    </row>
    <row r="38" spans="1:9" x14ac:dyDescent="0.35">
      <c r="A38" s="3" t="s">
        <v>13</v>
      </c>
      <c r="B38" s="11">
        <v>1600</v>
      </c>
      <c r="C38" s="11">
        <v>2929</v>
      </c>
      <c r="D38" s="4">
        <v>0.45</v>
      </c>
      <c r="E38" s="3">
        <v>5</v>
      </c>
      <c r="F38" s="9">
        <v>3.8</v>
      </c>
      <c r="G38" s="12">
        <f>C38-B38</f>
        <v>1329</v>
      </c>
      <c r="H38" s="3" t="str">
        <f>IF(F38="","",IF(F38&lt;3,"Poor",IF(F38&gt;=4.5,"Excellent","Average")))</f>
        <v>Average</v>
      </c>
      <c r="I38" s="3" t="str">
        <f>IF(D38="","",IF(D38&lt;20%,"Low Discount",IF(D38&lt;=40%,"Medium Discount","High Discount")))</f>
        <v>High Discount</v>
      </c>
    </row>
    <row r="39" spans="1:9" x14ac:dyDescent="0.35">
      <c r="A39" s="3" t="s">
        <v>29</v>
      </c>
      <c r="B39" s="11">
        <v>1350</v>
      </c>
      <c r="C39" s="11">
        <v>1990</v>
      </c>
      <c r="D39" s="4">
        <v>0.32</v>
      </c>
      <c r="E39" s="3">
        <v>13</v>
      </c>
      <c r="F39" s="9">
        <v>3.8</v>
      </c>
      <c r="G39" s="12">
        <f>C39-B39</f>
        <v>640</v>
      </c>
      <c r="H39" s="3" t="str">
        <f>IF(F39="","",IF(F39&lt;3,"Poor",IF(F39&gt;=4.5,"Excellent","Average")))</f>
        <v>Average</v>
      </c>
      <c r="I39" s="3" t="str">
        <f>IF(D39="","",IF(D39&lt;20%,"Low Discount",IF(D39&lt;=40%,"Medium Discount","High Discount")))</f>
        <v>Medium Discount</v>
      </c>
    </row>
    <row r="40" spans="1:9" x14ac:dyDescent="0.35">
      <c r="A40" s="3" t="s">
        <v>28</v>
      </c>
      <c r="B40" s="11">
        <v>2880</v>
      </c>
      <c r="C40" s="11">
        <v>3520</v>
      </c>
      <c r="D40" s="4">
        <v>0.18</v>
      </c>
      <c r="E40" s="3">
        <v>12</v>
      </c>
      <c r="F40" s="9">
        <v>3.8</v>
      </c>
      <c r="G40" s="12">
        <f>C40-B40</f>
        <v>640</v>
      </c>
      <c r="H40" s="3" t="str">
        <f>IF(F40="","",IF(F40&lt;3,"Poor",IF(F40&gt;=4.5,"Excellent","Average")))</f>
        <v>Average</v>
      </c>
      <c r="I40" s="3" t="str">
        <f>IF(D40="","",IF(D40&lt;20%,"Low Discount",IF(D40&lt;=40%,"Medium Discount","High Discount")))</f>
        <v>Low Discount</v>
      </c>
    </row>
    <row r="41" spans="1:9" x14ac:dyDescent="0.35">
      <c r="A41" s="3" t="s">
        <v>24</v>
      </c>
      <c r="B41" s="11">
        <v>38</v>
      </c>
      <c r="C41" s="11">
        <v>80</v>
      </c>
      <c r="D41" s="4">
        <v>0.53</v>
      </c>
      <c r="E41" s="3">
        <v>13</v>
      </c>
      <c r="F41" s="9">
        <v>3.3</v>
      </c>
      <c r="G41" s="12">
        <f>C41-B41</f>
        <v>42</v>
      </c>
      <c r="H41" s="3" t="str">
        <f>IF(F41="","",IF(F41&lt;3,"Poor",IF(F41&gt;=4.5,"Excellent","Average")))</f>
        <v>Average</v>
      </c>
      <c r="I41" s="3" t="str">
        <f>IF(D41="","",IF(D41&lt;20%,"Low Discount",IF(D41&lt;=40%,"Medium Discount","High Discount")))</f>
        <v>High Discount</v>
      </c>
    </row>
    <row r="42" spans="1:9" x14ac:dyDescent="0.35">
      <c r="A42" s="3" t="s">
        <v>56</v>
      </c>
      <c r="B42" s="11">
        <v>458</v>
      </c>
      <c r="C42" s="11">
        <v>986</v>
      </c>
      <c r="D42" s="4">
        <v>0.54</v>
      </c>
      <c r="E42" s="3">
        <v>10</v>
      </c>
      <c r="F42" s="9">
        <v>3</v>
      </c>
      <c r="G42" s="12">
        <f>C42-B42</f>
        <v>528</v>
      </c>
      <c r="H42" s="3" t="str">
        <f>IF(F42="","",IF(F42&lt;3,"Poor",IF(F42&gt;=4.5,"Excellent","Average")))</f>
        <v>Average</v>
      </c>
      <c r="I42" s="3" t="str">
        <f>IF(D42="","",IF(D42&lt;20%,"Low Discount",IF(D42&lt;=40%,"Medium Discount","High Discount")))</f>
        <v>High Discount</v>
      </c>
    </row>
    <row r="43" spans="1:9" x14ac:dyDescent="0.35">
      <c r="A43" s="3" t="s">
        <v>113</v>
      </c>
      <c r="B43" s="11">
        <v>1189</v>
      </c>
      <c r="C43" s="11">
        <v>2199</v>
      </c>
      <c r="D43" s="4">
        <v>0.46</v>
      </c>
      <c r="E43" s="3">
        <v>1</v>
      </c>
      <c r="F43" s="9">
        <v>3</v>
      </c>
      <c r="G43" s="12">
        <f>C43-B43</f>
        <v>1010</v>
      </c>
      <c r="H43" s="3" t="str">
        <f>IF(F43="","",IF(F43&lt;3,"Poor",IF(F43&gt;=4.5,"Excellent","Average")))</f>
        <v>Average</v>
      </c>
      <c r="I43" s="3" t="str">
        <f>IF(D43="","",IF(D43&lt;20%,"Low Discount",IF(D43&lt;=40%,"Medium Discount","High Discount")))</f>
        <v>High Discount</v>
      </c>
    </row>
    <row r="44" spans="1:9" x14ac:dyDescent="0.35">
      <c r="A44" s="3" t="s">
        <v>67</v>
      </c>
      <c r="B44" s="11">
        <v>509</v>
      </c>
      <c r="C44" s="11">
        <v>899</v>
      </c>
      <c r="D44" s="4">
        <v>0.43</v>
      </c>
      <c r="E44" s="3">
        <v>5</v>
      </c>
      <c r="F44" s="9">
        <v>3</v>
      </c>
      <c r="G44" s="12">
        <f>C44-B44</f>
        <v>390</v>
      </c>
      <c r="H44" s="3" t="str">
        <f>IF(F44="","",IF(F44&lt;3,"Poor",IF(F44&gt;=4.5,"Excellent","Average")))</f>
        <v>Average</v>
      </c>
      <c r="I44" s="3" t="str">
        <f>IF(D44="","",IF(D44&lt;20%,"Low Discount",IF(D44&lt;=40%,"Medium Discount","High Discount")))</f>
        <v>High Discount</v>
      </c>
    </row>
    <row r="45" spans="1:9" x14ac:dyDescent="0.35">
      <c r="A45" s="3" t="s">
        <v>63</v>
      </c>
      <c r="B45" s="11">
        <v>3750</v>
      </c>
      <c r="C45" s="11">
        <v>6143</v>
      </c>
      <c r="D45" s="4">
        <v>0.39</v>
      </c>
      <c r="E45" s="3">
        <v>5</v>
      </c>
      <c r="F45" s="9">
        <v>3</v>
      </c>
      <c r="G45" s="12">
        <f>C45-B45</f>
        <v>2393</v>
      </c>
      <c r="H45" s="3" t="str">
        <f>IF(F45="","",IF(F45&lt;3,"Poor",IF(F45&gt;=4.5,"Excellent","Average")))</f>
        <v>Average</v>
      </c>
      <c r="I45" s="3" t="str">
        <f>IF(D45="","",IF(D45&lt;20%,"Low Discount",IF(D45&lt;=40%,"Medium Discount","High Discount")))</f>
        <v>Medium Discount</v>
      </c>
    </row>
    <row r="46" spans="1:9" x14ac:dyDescent="0.35">
      <c r="A46" s="3" t="s">
        <v>65</v>
      </c>
      <c r="B46" s="11">
        <v>2300</v>
      </c>
      <c r="C46" s="11">
        <v>3240</v>
      </c>
      <c r="D46" s="4">
        <v>0.28999999999999998</v>
      </c>
      <c r="E46" s="3">
        <v>5</v>
      </c>
      <c r="F46" s="9">
        <v>3</v>
      </c>
      <c r="G46" s="12">
        <f>C46-B46</f>
        <v>940</v>
      </c>
      <c r="H46" s="3" t="str">
        <f>IF(F46="","",IF(F46&lt;3,"Poor",IF(F46&gt;=4.5,"Excellent","Average")))</f>
        <v>Average</v>
      </c>
      <c r="I46" s="3" t="str">
        <f>IF(D46="","",IF(D46&lt;20%,"Low Discount",IF(D46&lt;=40%,"Medium Discount","High Discount")))</f>
        <v>Medium Discount</v>
      </c>
    </row>
    <row r="47" spans="1:9" x14ac:dyDescent="0.35">
      <c r="A47" s="3" t="s">
        <v>60</v>
      </c>
      <c r="B47" s="11">
        <v>1220</v>
      </c>
      <c r="C47" s="11">
        <v>1555</v>
      </c>
      <c r="D47" s="4">
        <v>0.22</v>
      </c>
      <c r="E47" s="3">
        <v>16</v>
      </c>
      <c r="F47" s="9">
        <v>2.9</v>
      </c>
      <c r="G47" s="12">
        <f>C47-B47</f>
        <v>335</v>
      </c>
      <c r="H47" s="3" t="str">
        <f>IF(F47="","",IF(F47&lt;3,"Poor",IF(F47&gt;=4.5,"Excellent","Average")))</f>
        <v>Poor</v>
      </c>
      <c r="I47" s="3" t="str">
        <f>IF(D47="","",IF(D47&lt;20%,"Low Discount",IF(D47&lt;=40%,"Medium Discount","High Discount")))</f>
        <v>Medium Discount</v>
      </c>
    </row>
    <row r="48" spans="1:9" x14ac:dyDescent="0.35">
      <c r="A48" s="3" t="s">
        <v>58</v>
      </c>
      <c r="B48" s="11">
        <v>445</v>
      </c>
      <c r="C48" s="11">
        <v>873</v>
      </c>
      <c r="D48" s="4">
        <v>0.49</v>
      </c>
      <c r="E48" s="3">
        <v>69</v>
      </c>
      <c r="F48" s="9">
        <v>2.8</v>
      </c>
      <c r="G48" s="12">
        <f>C48-B48</f>
        <v>428</v>
      </c>
      <c r="H48" s="3" t="str">
        <f>IF(F48="","",IF(F48&lt;3,"Poor",IF(F48&gt;=4.5,"Excellent","Average")))</f>
        <v>Poor</v>
      </c>
      <c r="I48" s="3" t="str">
        <f>IF(D48="","",IF(D48&lt;20%,"Low Discount",IF(D48&lt;=40%,"Medium Discount","High Discount")))</f>
        <v>High Discount</v>
      </c>
    </row>
    <row r="49" spans="1:9" x14ac:dyDescent="0.35">
      <c r="A49" s="3" t="s">
        <v>59</v>
      </c>
      <c r="B49" s="11">
        <v>325</v>
      </c>
      <c r="C49" s="11">
        <v>680</v>
      </c>
      <c r="D49" s="4">
        <v>0.52</v>
      </c>
      <c r="E49" s="3">
        <v>15</v>
      </c>
      <c r="F49" s="9">
        <v>2.7</v>
      </c>
      <c r="G49" s="12">
        <f>C49-B49</f>
        <v>355</v>
      </c>
      <c r="H49" s="3" t="str">
        <f>IF(F49="","",IF(F49&lt;3,"Poor",IF(F49&gt;=4.5,"Excellent","Average")))</f>
        <v>Poor</v>
      </c>
      <c r="I49" s="3" t="str">
        <f>IF(D49="","",IF(D49&lt;20%,"Low Discount",IF(D49&lt;=40%,"Medium Discount","High Discount")))</f>
        <v>High Discount</v>
      </c>
    </row>
    <row r="50" spans="1:9" x14ac:dyDescent="0.35">
      <c r="A50" s="3" t="s">
        <v>64</v>
      </c>
      <c r="B50" s="11">
        <v>382</v>
      </c>
      <c r="C50" s="11">
        <v>700</v>
      </c>
      <c r="D50" s="4">
        <v>0.45</v>
      </c>
      <c r="E50" s="3">
        <v>17</v>
      </c>
      <c r="F50" s="9">
        <v>2.6</v>
      </c>
      <c r="G50" s="12">
        <f>C50-B50</f>
        <v>318</v>
      </c>
      <c r="H50" s="3" t="str">
        <f>IF(F50="","",IF(F50&lt;3,"Poor",IF(F50&gt;=4.5,"Excellent","Average")))</f>
        <v>Poor</v>
      </c>
      <c r="I50" s="3" t="str">
        <f>IF(D50="","",IF(D50&lt;20%,"Low Discount",IF(D50&lt;=40%,"Medium Discount","High Discount")))</f>
        <v>High Discount</v>
      </c>
    </row>
    <row r="51" spans="1:9" x14ac:dyDescent="0.35">
      <c r="A51" s="3" t="s">
        <v>55</v>
      </c>
      <c r="B51" s="11">
        <v>2170</v>
      </c>
      <c r="C51" s="11">
        <v>2500</v>
      </c>
      <c r="D51" s="4">
        <v>0.13</v>
      </c>
      <c r="E51" s="3">
        <v>6</v>
      </c>
      <c r="F51" s="9">
        <v>2.5</v>
      </c>
      <c r="G51" s="12">
        <f>C51-B51</f>
        <v>330</v>
      </c>
      <c r="H51" s="3" t="str">
        <f>IF(F51="","",IF(F51&lt;3,"Poor",IF(F51&gt;=4.5,"Excellent","Average")))</f>
        <v>Poor</v>
      </c>
      <c r="I51" s="3" t="str">
        <f>IF(D51="","",IF(D51&lt;20%,"Low Discount",IF(D51&lt;=40%,"Medium Discount","High Discount")))</f>
        <v>Low Discount</v>
      </c>
    </row>
    <row r="52" spans="1:9" x14ac:dyDescent="0.35">
      <c r="A52" s="3" t="s">
        <v>62</v>
      </c>
      <c r="B52" s="11">
        <v>1000</v>
      </c>
      <c r="C52" s="11">
        <v>2000</v>
      </c>
      <c r="D52" s="4">
        <v>0.5</v>
      </c>
      <c r="E52" s="3">
        <v>7</v>
      </c>
      <c r="F52" s="9">
        <v>2.2999999999999998</v>
      </c>
      <c r="G52" s="12">
        <f>C52-B52</f>
        <v>1000</v>
      </c>
      <c r="H52" s="3" t="str">
        <f>IF(F52="","",IF(F52&lt;3,"Poor",IF(F52&gt;=4.5,"Excellent","Average")))</f>
        <v>Poor</v>
      </c>
      <c r="I52" s="3" t="str">
        <f>IF(D52="","",IF(D52&lt;20%,"Low Discount",IF(D52&lt;=40%,"Medium Discount","High Discount")))</f>
        <v>High Discount</v>
      </c>
    </row>
    <row r="53" spans="1:9" x14ac:dyDescent="0.35">
      <c r="A53" s="3" t="s">
        <v>66</v>
      </c>
      <c r="B53" s="11">
        <v>345</v>
      </c>
      <c r="C53" s="11">
        <v>602</v>
      </c>
      <c r="D53" s="4">
        <v>0.43</v>
      </c>
      <c r="E53" s="3">
        <v>6</v>
      </c>
      <c r="F53" s="9">
        <v>2.2999999999999998</v>
      </c>
      <c r="G53" s="12">
        <f>C53-B53</f>
        <v>257</v>
      </c>
      <c r="H53" s="3" t="str">
        <f>IF(F53="","",IF(F53&lt;3,"Poor",IF(F53&gt;=4.5,"Excellent","Average")))</f>
        <v>Poor</v>
      </c>
      <c r="I53" s="3" t="str">
        <f>IF(D53="","",IF(D53&lt;20%,"Low Discount",IF(D53&lt;=40%,"Medium Discount","High Discount")))</f>
        <v>High Discount</v>
      </c>
    </row>
    <row r="54" spans="1:9" x14ac:dyDescent="0.35">
      <c r="A54" s="3" t="s">
        <v>111</v>
      </c>
      <c r="B54" s="11">
        <v>968</v>
      </c>
      <c r="C54" s="11">
        <v>1814</v>
      </c>
      <c r="D54" s="4">
        <v>0.47</v>
      </c>
      <c r="E54" s="3">
        <v>6</v>
      </c>
      <c r="F54" s="9">
        <v>2.2000000000000002</v>
      </c>
      <c r="G54" s="12">
        <f>C54-B54</f>
        <v>846</v>
      </c>
      <c r="H54" s="3" t="str">
        <f>IF(F54="","",IF(F54&lt;3,"Poor",IF(F54&gt;=4.5,"Excellent","Average")))</f>
        <v>Poor</v>
      </c>
      <c r="I54" s="3" t="str">
        <f>IF(D54="","",IF(D54&lt;20%,"Low Discount",IF(D54&lt;=40%,"Medium Discount","High Discount")))</f>
        <v>High Discount</v>
      </c>
    </row>
    <row r="55" spans="1:9" x14ac:dyDescent="0.35">
      <c r="A55" s="3" t="s">
        <v>61</v>
      </c>
      <c r="B55" s="11">
        <v>990</v>
      </c>
      <c r="C55" s="11">
        <v>1814</v>
      </c>
      <c r="D55" s="4">
        <v>0.45</v>
      </c>
      <c r="E55" s="3">
        <v>6</v>
      </c>
      <c r="F55" s="9">
        <v>2.2000000000000002</v>
      </c>
      <c r="G55" s="12">
        <f>C55-B55</f>
        <v>824</v>
      </c>
      <c r="H55" s="3" t="str">
        <f>IF(F55="","",IF(F55&lt;3,"Poor",IF(F55&gt;=4.5,"Excellent","Average")))</f>
        <v>Poor</v>
      </c>
      <c r="I55" s="3" t="str">
        <f>IF(D55="","",IF(D55&lt;20%,"Low Discount",IF(D55&lt;=40%,"Medium Discount","High Discount")))</f>
        <v>High Discount</v>
      </c>
    </row>
    <row r="56" spans="1:9" x14ac:dyDescent="0.35">
      <c r="A56" s="3" t="s">
        <v>57</v>
      </c>
      <c r="B56" s="11">
        <v>2115</v>
      </c>
      <c r="C56" s="11">
        <v>4700</v>
      </c>
      <c r="D56" s="4">
        <v>0.55000000000000004</v>
      </c>
      <c r="E56" s="3">
        <v>5</v>
      </c>
      <c r="F56" s="9">
        <v>2.1</v>
      </c>
      <c r="G56" s="12">
        <f>C56-B56</f>
        <v>2585</v>
      </c>
      <c r="H56" s="3" t="str">
        <f>IF(F56="","",IF(F56&lt;3,"Poor",IF(F56&gt;=4.5,"Excellent","Average")))</f>
        <v>Poor</v>
      </c>
      <c r="I56" s="3" t="str">
        <f>IF(D56="","",IF(D56&lt;20%,"Low Discount",IF(D56&lt;=40%,"Medium Discount","High Discount")))</f>
        <v>High Discount</v>
      </c>
    </row>
    <row r="57" spans="1:9" x14ac:dyDescent="0.35">
      <c r="A57" s="3" t="s">
        <v>112</v>
      </c>
      <c r="B57" s="11">
        <v>1570</v>
      </c>
      <c r="C57" s="11">
        <v>2988</v>
      </c>
      <c r="D57" s="4">
        <v>0.47</v>
      </c>
      <c r="E57" s="3">
        <v>7</v>
      </c>
      <c r="F57" s="9">
        <v>2.1</v>
      </c>
      <c r="G57" s="12">
        <f>C57-B57</f>
        <v>1418</v>
      </c>
      <c r="H57" s="3" t="str">
        <f>IF(F57="","",IF(F57&lt;3,"Poor",IF(F57&gt;=4.5,"Excellent","Average")))</f>
        <v>Poor</v>
      </c>
      <c r="I57" s="3" t="str">
        <f>IF(D57="","",IF(D57&lt;20%,"Low Discount",IF(D57&lt;=40%,"Medium Discount","High Discount")))</f>
        <v>High Discount</v>
      </c>
    </row>
    <row r="58" spans="1:9" x14ac:dyDescent="0.35">
      <c r="A58" s="3" t="s">
        <v>99</v>
      </c>
      <c r="B58" s="11">
        <v>450</v>
      </c>
      <c r="C58" s="11">
        <v>900</v>
      </c>
      <c r="D58" s="4">
        <v>0.5</v>
      </c>
      <c r="E58" s="3">
        <v>1</v>
      </c>
      <c r="F58" s="9">
        <v>2</v>
      </c>
      <c r="G58" s="12">
        <f>C58-B58</f>
        <v>450</v>
      </c>
      <c r="H58" s="3" t="str">
        <f>IF(F58="","",IF(F58&lt;3,"Poor",IF(F58&gt;=4.5,"Excellent","Average")))</f>
        <v>Poor</v>
      </c>
      <c r="I58" s="3" t="str">
        <f>IF(D58="","",IF(D58&lt;20%,"Low Discount",IF(D58&lt;=40%,"Medium Discount","High Discount")))</f>
        <v>High Discount</v>
      </c>
    </row>
    <row r="59" spans="1:9" x14ac:dyDescent="0.35">
      <c r="A59" s="3" t="s">
        <v>98</v>
      </c>
      <c r="B59" s="11">
        <v>199</v>
      </c>
      <c r="C59" s="11">
        <v>553</v>
      </c>
      <c r="D59" s="4">
        <v>0.64</v>
      </c>
      <c r="E59" s="5"/>
      <c r="F59" s="5"/>
      <c r="G59" s="12">
        <f>C59-B59</f>
        <v>354</v>
      </c>
      <c r="H59" s="3" t="str">
        <f>IF(F59="","",IF(F59&lt;3,"Poor",IF(F59&gt;=4.5,"Excellent","Average")))</f>
        <v/>
      </c>
      <c r="I59" s="3" t="str">
        <f>IF(D59="","",IF(D59&lt;20%,"Low Discount",IF(D59&lt;=40%,"Medium Discount","High Discount")))</f>
        <v>High Discount</v>
      </c>
    </row>
    <row r="60" spans="1:9" x14ac:dyDescent="0.35">
      <c r="A60" s="3" t="s">
        <v>45</v>
      </c>
      <c r="B60" s="11">
        <v>199</v>
      </c>
      <c r="C60" s="11">
        <v>504</v>
      </c>
      <c r="D60" s="4">
        <v>0.61</v>
      </c>
      <c r="E60" s="5"/>
      <c r="F60" s="10"/>
      <c r="G60" s="12">
        <f>C60-B60</f>
        <v>305</v>
      </c>
      <c r="H60" s="3" t="str">
        <f>IF(F60="","",IF(F60&lt;3,"Poor",IF(F60&gt;=4.5,"Excellent","Average")))</f>
        <v/>
      </c>
      <c r="I60" s="3" t="str">
        <f>IF(D60="","",IF(D60&lt;20%,"Low Discount",IF(D60&lt;=40%,"Medium Discount","High Discount")))</f>
        <v>High Discount</v>
      </c>
    </row>
    <row r="61" spans="1:9" x14ac:dyDescent="0.35">
      <c r="A61" s="3" t="s">
        <v>39</v>
      </c>
      <c r="B61" s="11">
        <v>238</v>
      </c>
      <c r="C61" s="11">
        <v>476</v>
      </c>
      <c r="D61" s="4">
        <v>0.5</v>
      </c>
      <c r="E61" s="5"/>
      <c r="F61" s="10"/>
      <c r="G61" s="12">
        <f>C61-B61</f>
        <v>238</v>
      </c>
      <c r="H61" s="3" t="str">
        <f>IF(F61="","",IF(F61&lt;3,"Poor",IF(F61&gt;=4.5,"Excellent","Average")))</f>
        <v/>
      </c>
      <c r="I61" s="3" t="str">
        <f>IF(D61="","",IF(D61&lt;20%,"Low Discount",IF(D61&lt;=40%,"Medium Discount","High Discount")))</f>
        <v>High Discount</v>
      </c>
    </row>
    <row r="62" spans="1:9" x14ac:dyDescent="0.35">
      <c r="A62" s="3" t="s">
        <v>41</v>
      </c>
      <c r="B62" s="11">
        <v>999</v>
      </c>
      <c r="C62" s="11">
        <v>2000</v>
      </c>
      <c r="D62" s="4">
        <v>0.5</v>
      </c>
      <c r="E62" s="5"/>
      <c r="F62" s="10"/>
      <c r="G62" s="12">
        <f>C62-B62</f>
        <v>1001</v>
      </c>
      <c r="H62" s="3" t="str">
        <f>IF(F62="","",IF(F62&lt;3,"Poor",IF(F62&gt;=4.5,"Excellent","Average")))</f>
        <v/>
      </c>
      <c r="I62" s="3" t="str">
        <f>IF(D62="","",IF(D62&lt;20%,"Low Discount",IF(D62&lt;=40%,"Medium Discount","High Discount")))</f>
        <v>High Discount</v>
      </c>
    </row>
    <row r="63" spans="1:9" x14ac:dyDescent="0.35">
      <c r="A63" s="3" t="s">
        <v>46</v>
      </c>
      <c r="B63" s="11">
        <v>299</v>
      </c>
      <c r="C63" s="11">
        <v>600</v>
      </c>
      <c r="D63" s="4">
        <v>0.5</v>
      </c>
      <c r="E63" s="5"/>
      <c r="F63" s="10"/>
      <c r="G63" s="12">
        <f>C63-B63</f>
        <v>301</v>
      </c>
      <c r="H63" s="3" t="str">
        <f>IF(F63="","",IF(F63&lt;3,"Poor",IF(F63&gt;=4.5,"Excellent","Average")))</f>
        <v/>
      </c>
      <c r="I63" s="3" t="str">
        <f>IF(D63="","",IF(D63&lt;20%,"Low Discount",IF(D63&lt;=40%,"Medium Discount","High Discount")))</f>
        <v>High Discount</v>
      </c>
    </row>
    <row r="64" spans="1:9" x14ac:dyDescent="0.35">
      <c r="A64" s="3" t="s">
        <v>81</v>
      </c>
      <c r="B64" s="11">
        <v>850</v>
      </c>
      <c r="C64" s="11">
        <v>1700</v>
      </c>
      <c r="D64" s="4">
        <v>0.5</v>
      </c>
      <c r="E64" s="5"/>
      <c r="F64" s="10"/>
      <c r="G64" s="12">
        <f>C64-B64</f>
        <v>850</v>
      </c>
      <c r="H64" s="3" t="str">
        <f>IF(F64="","",IF(F64&lt;3,"Poor",IF(F64&gt;=4.5,"Excellent","Average")))</f>
        <v/>
      </c>
      <c r="I64" s="3" t="str">
        <f>IF(D64="","",IF(D64&lt;20%,"Low Discount",IF(D64&lt;=40%,"Medium Discount","High Discount")))</f>
        <v>High Discount</v>
      </c>
    </row>
    <row r="65" spans="1:9" x14ac:dyDescent="0.35">
      <c r="A65" s="3" t="s">
        <v>85</v>
      </c>
      <c r="B65" s="11">
        <v>1200</v>
      </c>
      <c r="C65" s="11">
        <v>2400</v>
      </c>
      <c r="D65" s="4">
        <v>0.5</v>
      </c>
      <c r="E65" s="5"/>
      <c r="F65" s="10"/>
      <c r="G65" s="12">
        <f>C65-B65</f>
        <v>1200</v>
      </c>
      <c r="H65" s="3" t="str">
        <f>IF(F65="","",IF(F65&lt;3,"Poor",IF(F65&gt;=4.5,"Excellent","Average")))</f>
        <v/>
      </c>
      <c r="I65" s="3" t="str">
        <f>IF(D65="","",IF(D65&lt;20%,"Low Discount",IF(D65&lt;=40%,"Medium Discount","High Discount")))</f>
        <v>High Discount</v>
      </c>
    </row>
    <row r="66" spans="1:9" x14ac:dyDescent="0.35">
      <c r="A66" s="3" t="s">
        <v>38</v>
      </c>
      <c r="B66" s="11">
        <v>475</v>
      </c>
      <c r="C66" s="11">
        <v>931</v>
      </c>
      <c r="D66" s="4">
        <v>0.49</v>
      </c>
      <c r="E66" s="5"/>
      <c r="F66" s="10"/>
      <c r="G66" s="12">
        <f>C66-B66</f>
        <v>456</v>
      </c>
      <c r="H66" s="3" t="str">
        <f>IF(F66="","",IF(F66&lt;3,"Poor",IF(F66&gt;=4.5,"Excellent","Average")))</f>
        <v/>
      </c>
      <c r="I66" s="3" t="str">
        <f>IF(D66="","",IF(D66&lt;20%,"Low Discount",IF(D66&lt;=40%,"Medium Discount","High Discount")))</f>
        <v>High Discount</v>
      </c>
    </row>
    <row r="67" spans="1:9" x14ac:dyDescent="0.35">
      <c r="A67" s="3" t="s">
        <v>43</v>
      </c>
      <c r="B67" s="11">
        <v>671</v>
      </c>
      <c r="C67" s="11">
        <v>1316</v>
      </c>
      <c r="D67" s="4">
        <v>0.49</v>
      </c>
      <c r="E67" s="5"/>
      <c r="F67" s="10"/>
      <c r="G67" s="12">
        <f>C67-B67</f>
        <v>645</v>
      </c>
      <c r="H67" s="3" t="str">
        <f>IF(F67="","",IF(F67&lt;3,"Poor",IF(F67&gt;=4.5,"Excellent","Average")))</f>
        <v/>
      </c>
      <c r="I67" s="3" t="str">
        <f>IF(D67="","",IF(D67&lt;20%,"Low Discount",IF(D67&lt;=40%,"Medium Discount","High Discount")))</f>
        <v>High Discount</v>
      </c>
    </row>
    <row r="68" spans="1:9" x14ac:dyDescent="0.35">
      <c r="A68" s="3" t="s">
        <v>53</v>
      </c>
      <c r="B68" s="11">
        <v>799</v>
      </c>
      <c r="C68" s="11">
        <v>1567</v>
      </c>
      <c r="D68" s="4">
        <v>0.49</v>
      </c>
      <c r="E68" s="5"/>
      <c r="F68" s="10"/>
      <c r="G68" s="12">
        <f>C68-B68</f>
        <v>768</v>
      </c>
      <c r="H68" s="3" t="str">
        <f>IF(F68="","",IF(F68&lt;3,"Poor",IF(F68&gt;=4.5,"Excellent","Average")))</f>
        <v/>
      </c>
      <c r="I68" s="3" t="str">
        <f>IF(D68="","",IF(D68&lt;20%,"Low Discount",IF(D68&lt;=40%,"Medium Discount","High Discount")))</f>
        <v>High Discount</v>
      </c>
    </row>
    <row r="69" spans="1:9" x14ac:dyDescent="0.35">
      <c r="A69" s="3" t="s">
        <v>71</v>
      </c>
      <c r="B69" s="11">
        <v>230</v>
      </c>
      <c r="C69" s="11">
        <v>450</v>
      </c>
      <c r="D69" s="4">
        <v>0.49</v>
      </c>
      <c r="E69" s="5"/>
      <c r="F69" s="10"/>
      <c r="G69" s="12">
        <f>C69-B69</f>
        <v>220</v>
      </c>
      <c r="H69" s="3" t="str">
        <f>IF(F69="","",IF(F69&lt;3,"Poor",IF(F69&gt;=4.5,"Excellent","Average")))</f>
        <v/>
      </c>
      <c r="I69" s="3" t="str">
        <f>IF(D69="","",IF(D69&lt;20%,"Low Discount",IF(D69&lt;=40%,"Medium Discount","High Discount")))</f>
        <v>High Discount</v>
      </c>
    </row>
    <row r="70" spans="1:9" x14ac:dyDescent="0.35">
      <c r="A70" s="3" t="s">
        <v>77</v>
      </c>
      <c r="B70" s="11">
        <v>274</v>
      </c>
      <c r="C70" s="11">
        <v>537</v>
      </c>
      <c r="D70" s="4">
        <v>0.49</v>
      </c>
      <c r="E70" s="5"/>
      <c r="F70" s="10"/>
      <c r="G70" s="12">
        <f>C70-B70</f>
        <v>263</v>
      </c>
      <c r="H70" s="3" t="str">
        <f>IF(F70="","",IF(F70&lt;3,"Poor",IF(F70&gt;=4.5,"Excellent","Average")))</f>
        <v/>
      </c>
      <c r="I70" s="3" t="str">
        <f>IF(D70="","",IF(D70&lt;20%,"Low Discount",IF(D70&lt;=40%,"Medium Discount","High Discount")))</f>
        <v>High Discount</v>
      </c>
    </row>
    <row r="71" spans="1:9" x14ac:dyDescent="0.35">
      <c r="A71" s="3" t="s">
        <v>88</v>
      </c>
      <c r="B71" s="11">
        <v>248</v>
      </c>
      <c r="C71" s="11">
        <v>486</v>
      </c>
      <c r="D71" s="4">
        <v>0.49</v>
      </c>
      <c r="E71" s="5"/>
      <c r="F71" s="10"/>
      <c r="G71" s="12">
        <f>C71-B71</f>
        <v>238</v>
      </c>
      <c r="H71" s="3" t="str">
        <f>IF(F71="","",IF(F71&lt;3,"Poor",IF(F71&gt;=4.5,"Excellent","Average")))</f>
        <v/>
      </c>
      <c r="I71" s="3" t="str">
        <f>IF(D71="","",IF(D71&lt;20%,"Low Discount",IF(D71&lt;=40%,"Medium Discount","High Discount")))</f>
        <v>High Discount</v>
      </c>
    </row>
    <row r="72" spans="1:9" x14ac:dyDescent="0.35">
      <c r="A72" s="3" t="s">
        <v>90</v>
      </c>
      <c r="B72" s="11">
        <v>525</v>
      </c>
      <c r="C72" s="11">
        <v>1029</v>
      </c>
      <c r="D72" s="4">
        <v>0.49</v>
      </c>
      <c r="E72" s="5"/>
      <c r="F72" s="10"/>
      <c r="G72" s="12">
        <f>C72-B72</f>
        <v>504</v>
      </c>
      <c r="H72" s="3" t="str">
        <f>IF(F72="","",IF(F72&lt;3,"Poor",IF(F72&gt;=4.5,"Excellent","Average")))</f>
        <v/>
      </c>
      <c r="I72" s="3" t="str">
        <f>IF(D72="","",IF(D72&lt;20%,"Low Discount",IF(D72&lt;=40%,"Medium Discount","High Discount")))</f>
        <v>High Discount</v>
      </c>
    </row>
    <row r="73" spans="1:9" x14ac:dyDescent="0.35">
      <c r="A73" s="3" t="s">
        <v>52</v>
      </c>
      <c r="B73" s="11">
        <v>699</v>
      </c>
      <c r="C73" s="11">
        <v>1343</v>
      </c>
      <c r="D73" s="4">
        <v>0.48</v>
      </c>
      <c r="E73" s="5"/>
      <c r="F73" s="10"/>
      <c r="G73" s="12">
        <f>C73-B73</f>
        <v>644</v>
      </c>
      <c r="H73" s="3" t="str">
        <f>IF(F73="","",IF(F73&lt;3,"Poor",IF(F73&gt;=4.5,"Excellent","Average")))</f>
        <v/>
      </c>
      <c r="I73" s="3" t="str">
        <f>IF(D73="","",IF(D73&lt;20%,"Low Discount",IF(D73&lt;=40%,"Medium Discount","High Discount")))</f>
        <v>High Discount</v>
      </c>
    </row>
    <row r="74" spans="1:9" x14ac:dyDescent="0.35">
      <c r="A74" s="3" t="s">
        <v>82</v>
      </c>
      <c r="B74" s="11">
        <v>1300</v>
      </c>
      <c r="C74" s="11">
        <v>2500</v>
      </c>
      <c r="D74" s="4">
        <v>0.48</v>
      </c>
      <c r="E74" s="5"/>
      <c r="F74" s="10"/>
      <c r="G74" s="12">
        <f>C74-B74</f>
        <v>1200</v>
      </c>
      <c r="H74" s="3" t="str">
        <f>IF(F74="","",IF(F74&lt;3,"Poor",IF(F74&gt;=4.5,"Excellent","Average")))</f>
        <v/>
      </c>
      <c r="I74" s="3" t="str">
        <f>IF(D74="","",IF(D74&lt;20%,"Low Discount",IF(D74&lt;=40%,"Medium Discount","High Discount")))</f>
        <v>High Discount</v>
      </c>
    </row>
    <row r="75" spans="1:9" x14ac:dyDescent="0.35">
      <c r="A75" s="3" t="s">
        <v>83</v>
      </c>
      <c r="B75" s="11">
        <v>105</v>
      </c>
      <c r="C75" s="11">
        <v>200</v>
      </c>
      <c r="D75" s="4">
        <v>0.48</v>
      </c>
      <c r="E75" s="5"/>
      <c r="F75" s="10"/>
      <c r="G75" s="12">
        <f>C75-B75</f>
        <v>95</v>
      </c>
      <c r="H75" s="3" t="str">
        <f>IF(F75="","",IF(F75&lt;3,"Poor",IF(F75&gt;=4.5,"Excellent","Average")))</f>
        <v/>
      </c>
      <c r="I75" s="3" t="str">
        <f>IF(D75="","",IF(D75&lt;20%,"Low Discount",IF(D75&lt;=40%,"Medium Discount","High Discount")))</f>
        <v>High Discount</v>
      </c>
    </row>
    <row r="76" spans="1:9" x14ac:dyDescent="0.35">
      <c r="A76" s="3" t="s">
        <v>68</v>
      </c>
      <c r="B76" s="11">
        <v>790</v>
      </c>
      <c r="C76" s="11">
        <v>1485</v>
      </c>
      <c r="D76" s="4">
        <v>0.47</v>
      </c>
      <c r="E76" s="5"/>
      <c r="F76" s="10"/>
      <c r="G76" s="12">
        <f>C76-B76</f>
        <v>695</v>
      </c>
      <c r="H76" s="3" t="str">
        <f>IF(F76="","",IF(F76&lt;3,"Poor",IF(F76&gt;=4.5,"Excellent","Average")))</f>
        <v/>
      </c>
      <c r="I76" s="3" t="str">
        <f>IF(D76="","",IF(D76&lt;20%,"Low Discount",IF(D76&lt;=40%,"Medium Discount","High Discount")))</f>
        <v>High Discount</v>
      </c>
    </row>
    <row r="77" spans="1:9" x14ac:dyDescent="0.35">
      <c r="A77" s="3" t="s">
        <v>84</v>
      </c>
      <c r="B77" s="11">
        <v>899</v>
      </c>
      <c r="C77" s="11">
        <v>1699</v>
      </c>
      <c r="D77" s="4">
        <v>0.47</v>
      </c>
      <c r="E77" s="5"/>
      <c r="F77" s="10"/>
      <c r="G77" s="12">
        <f>C77-B77</f>
        <v>800</v>
      </c>
      <c r="H77" s="3" t="str">
        <f>IF(F77="","",IF(F77&lt;3,"Poor",IF(F77&gt;=4.5,"Excellent","Average")))</f>
        <v/>
      </c>
      <c r="I77" s="3" t="str">
        <f>IF(D77="","",IF(D77&lt;20%,"Low Discount",IF(D77&lt;=40%,"Medium Discount","High Discount")))</f>
        <v>High Discount</v>
      </c>
    </row>
    <row r="78" spans="1:9" x14ac:dyDescent="0.35">
      <c r="A78" s="3" t="s">
        <v>100</v>
      </c>
      <c r="B78" s="11">
        <v>169</v>
      </c>
      <c r="C78" s="11">
        <v>320</v>
      </c>
      <c r="D78" s="4">
        <v>0.47</v>
      </c>
      <c r="E78" s="5"/>
      <c r="F78" s="10"/>
      <c r="G78" s="12">
        <f>C78-B78</f>
        <v>151</v>
      </c>
      <c r="H78" s="3" t="str">
        <f>IF(F78="","",IF(F78&lt;3,"Poor",IF(F78&gt;=4.5,"Excellent","Average")))</f>
        <v/>
      </c>
      <c r="I78" s="3" t="str">
        <f>IF(D78="","",IF(D78&lt;20%,"Low Discount",IF(D78&lt;=40%,"Medium Discount","High Discount")))</f>
        <v>High Discount</v>
      </c>
    </row>
    <row r="79" spans="1:9" x14ac:dyDescent="0.35">
      <c r="A79" s="3" t="s">
        <v>101</v>
      </c>
      <c r="B79" s="11">
        <v>2200</v>
      </c>
      <c r="C79" s="11">
        <v>4080</v>
      </c>
      <c r="D79" s="4">
        <v>0.46</v>
      </c>
      <c r="E79" s="5"/>
      <c r="F79" s="10"/>
      <c r="G79" s="12">
        <f>C79-B79</f>
        <v>1880</v>
      </c>
      <c r="H79" s="3" t="str">
        <f>IF(F79="","",IF(F79&lt;3,"Poor",IF(F79&gt;=4.5,"Excellent","Average")))</f>
        <v/>
      </c>
      <c r="I79" s="3" t="str">
        <f>IF(D79="","",IF(D79&lt;20%,"Low Discount",IF(D79&lt;=40%,"Medium Discount","High Discount")))</f>
        <v>High Discount</v>
      </c>
    </row>
    <row r="80" spans="1:9" x14ac:dyDescent="0.35">
      <c r="A80" s="3" t="s">
        <v>51</v>
      </c>
      <c r="B80" s="11">
        <v>499</v>
      </c>
      <c r="C80" s="11">
        <v>900</v>
      </c>
      <c r="D80" s="4">
        <v>0.45</v>
      </c>
      <c r="E80" s="5"/>
      <c r="F80" s="10"/>
      <c r="G80" s="12">
        <f>C80-B80</f>
        <v>401</v>
      </c>
      <c r="H80" s="3" t="str">
        <f>IF(F80="","",IF(F80&lt;3,"Poor",IF(F80&gt;=4.5,"Excellent","Average")))</f>
        <v/>
      </c>
      <c r="I80" s="3" t="str">
        <f>IF(D80="","",IF(D80&lt;20%,"Low Discount",IF(D80&lt;=40%,"Medium Discount","High Discount")))</f>
        <v>High Discount</v>
      </c>
    </row>
    <row r="81" spans="1:9" x14ac:dyDescent="0.35">
      <c r="A81" s="3" t="s">
        <v>69</v>
      </c>
      <c r="B81" s="11">
        <v>690</v>
      </c>
      <c r="C81" s="11">
        <v>1200</v>
      </c>
      <c r="D81" s="4">
        <v>0.43</v>
      </c>
      <c r="E81" s="5"/>
      <c r="F81" s="10"/>
      <c r="G81" s="12">
        <f>C81-B81</f>
        <v>510</v>
      </c>
      <c r="H81" s="3" t="str">
        <f>IF(F81="","",IF(F81&lt;3,"Poor",IF(F81&gt;=4.5,"Excellent","Average")))</f>
        <v/>
      </c>
      <c r="I81" s="3" t="str">
        <f>IF(D81="","",IF(D81&lt;20%,"Low Discount",IF(D81&lt;=40%,"Medium Discount","High Discount")))</f>
        <v>High Discount</v>
      </c>
    </row>
    <row r="82" spans="1:9" x14ac:dyDescent="0.35">
      <c r="A82" s="3" t="s">
        <v>80</v>
      </c>
      <c r="B82" s="11">
        <v>630</v>
      </c>
      <c r="C82" s="11">
        <v>1100</v>
      </c>
      <c r="D82" s="4">
        <v>0.43</v>
      </c>
      <c r="E82" s="5"/>
      <c r="F82" s="10"/>
      <c r="G82" s="12">
        <f>C82-B82</f>
        <v>470</v>
      </c>
      <c r="H82" s="3" t="str">
        <f>IF(F82="","",IF(F82&lt;3,"Poor",IF(F82&gt;=4.5,"Excellent","Average")))</f>
        <v/>
      </c>
      <c r="I82" s="3" t="str">
        <f>IF(D82="","",IF(D82&lt;20%,"Low Discount",IF(D82&lt;=40%,"Medium Discount","High Discount")))</f>
        <v>High Discount</v>
      </c>
    </row>
    <row r="83" spans="1:9" x14ac:dyDescent="0.35">
      <c r="A83" s="3" t="s">
        <v>103</v>
      </c>
      <c r="B83" s="11">
        <v>1860</v>
      </c>
      <c r="C83" s="11">
        <v>3220</v>
      </c>
      <c r="D83" s="4">
        <v>0.42</v>
      </c>
      <c r="E83" s="5"/>
      <c r="F83" s="10"/>
      <c r="G83" s="12">
        <f>C83-B83</f>
        <v>1360</v>
      </c>
      <c r="H83" s="3" t="str">
        <f>IF(F83="","",IF(F83&lt;3,"Poor",IF(F83&gt;=4.5,"Excellent","Average")))</f>
        <v/>
      </c>
      <c r="I83" s="3" t="str">
        <f>IF(D83="","",IF(D83&lt;20%,"Low Discount",IF(D83&lt;=40%,"Medium Discount","High Discount")))</f>
        <v>High Discount</v>
      </c>
    </row>
    <row r="84" spans="1:9" x14ac:dyDescent="0.35">
      <c r="A84" s="3" t="s">
        <v>110</v>
      </c>
      <c r="B84" s="11">
        <v>610</v>
      </c>
      <c r="C84" s="11">
        <v>1060</v>
      </c>
      <c r="D84" s="4">
        <v>0.42</v>
      </c>
      <c r="E84" s="5"/>
      <c r="F84" s="10"/>
      <c r="G84" s="12">
        <f>C84-B84</f>
        <v>450</v>
      </c>
      <c r="H84" s="3" t="str">
        <f>IF(F84="","",IF(F84&lt;3,"Poor",IF(F84&gt;=4.5,"Excellent","Average")))</f>
        <v/>
      </c>
      <c r="I84" s="3" t="str">
        <f>IF(D84="","",IF(D84&lt;20%,"Low Discount",IF(D84&lt;=40%,"Medium Discount","High Discount")))</f>
        <v>High Discount</v>
      </c>
    </row>
    <row r="85" spans="1:9" x14ac:dyDescent="0.35">
      <c r="A85" s="3" t="s">
        <v>91</v>
      </c>
      <c r="B85" s="11">
        <v>1080</v>
      </c>
      <c r="C85" s="11">
        <v>1874</v>
      </c>
      <c r="D85" s="4">
        <v>0.42</v>
      </c>
      <c r="E85" s="5"/>
      <c r="F85" s="10"/>
      <c r="G85" s="12">
        <f>C85-B85</f>
        <v>794</v>
      </c>
      <c r="H85" s="3" t="str">
        <f>IF(F85="","",IF(F85&lt;3,"Poor",IF(F85&gt;=4.5,"Excellent","Average")))</f>
        <v/>
      </c>
      <c r="I85" s="3" t="str">
        <f>IF(D85="","",IF(D85&lt;20%,"Low Discount",IF(D85&lt;=40%,"Medium Discount","High Discount")))</f>
        <v>High Discount</v>
      </c>
    </row>
    <row r="86" spans="1:9" x14ac:dyDescent="0.35">
      <c r="A86" s="3" t="s">
        <v>50</v>
      </c>
      <c r="B86" s="11">
        <v>799</v>
      </c>
      <c r="C86" s="11">
        <v>1343</v>
      </c>
      <c r="D86" s="4">
        <v>0.41</v>
      </c>
      <c r="E86" s="5"/>
      <c r="F86" s="10"/>
      <c r="G86" s="12">
        <f>C86-B86</f>
        <v>544</v>
      </c>
      <c r="H86" s="3" t="str">
        <f>IF(F86="","",IF(F86&lt;3,"Poor",IF(F86&gt;=4.5,"Excellent","Average")))</f>
        <v/>
      </c>
      <c r="I86" s="3" t="str">
        <f>IF(D86="","",IF(D86&lt;20%,"Low Discount",IF(D86&lt;=40%,"Medium Discount","High Discount")))</f>
        <v>High Discount</v>
      </c>
    </row>
    <row r="87" spans="1:9" x14ac:dyDescent="0.35">
      <c r="A87" s="3" t="s">
        <v>115</v>
      </c>
      <c r="B87" s="11">
        <v>1420</v>
      </c>
      <c r="C87" s="11">
        <v>2420</v>
      </c>
      <c r="D87" s="4">
        <v>0.41</v>
      </c>
      <c r="E87" s="5"/>
      <c r="F87" s="10"/>
      <c r="G87" s="12">
        <f>C87-B87</f>
        <v>1000</v>
      </c>
      <c r="H87" s="3" t="str">
        <f>IF(F87="","",IF(F87&lt;3,"Poor",IF(F87&gt;=4.5,"Excellent","Average")))</f>
        <v/>
      </c>
      <c r="I87" s="3" t="str">
        <f>IF(D87="","",IF(D87&lt;20%,"Low Discount",IF(D87&lt;=40%,"Medium Discount","High Discount")))</f>
        <v>High Discount</v>
      </c>
    </row>
    <row r="88" spans="1:9" x14ac:dyDescent="0.35">
      <c r="A88" s="3" t="s">
        <v>37</v>
      </c>
      <c r="B88" s="11">
        <v>2750</v>
      </c>
      <c r="C88" s="11">
        <v>4471</v>
      </c>
      <c r="D88" s="4">
        <v>0.38</v>
      </c>
      <c r="E88" s="5"/>
      <c r="F88" s="10"/>
      <c r="G88" s="12">
        <f>C88-B88</f>
        <v>1721</v>
      </c>
      <c r="H88" s="3" t="str">
        <f>IF(F88="","",IF(F88&lt;3,"Poor",IF(F88&gt;=4.5,"Excellent","Average")))</f>
        <v/>
      </c>
      <c r="I88" s="3" t="str">
        <f>IF(D88="","",IF(D88&lt;20%,"Low Discount",IF(D88&lt;=40%,"Medium Discount","High Discount")))</f>
        <v>Medium Discount</v>
      </c>
    </row>
    <row r="89" spans="1:9" x14ac:dyDescent="0.35">
      <c r="A89" s="3" t="s">
        <v>44</v>
      </c>
      <c r="B89" s="11">
        <v>1200</v>
      </c>
      <c r="C89" s="11">
        <v>1950</v>
      </c>
      <c r="D89" s="4">
        <v>0.38</v>
      </c>
      <c r="E89" s="5"/>
      <c r="F89" s="10"/>
      <c r="G89" s="12">
        <f>C89-B89</f>
        <v>750</v>
      </c>
      <c r="H89" s="3" t="str">
        <f>IF(F89="","",IF(F89&lt;3,"Poor",IF(F89&gt;=4.5,"Excellent","Average")))</f>
        <v/>
      </c>
      <c r="I89" s="3" t="str">
        <f>IF(D89="","",IF(D89&lt;20%,"Low Discount",IF(D89&lt;=40%,"Medium Discount","High Discount")))</f>
        <v>Medium Discount</v>
      </c>
    </row>
    <row r="90" spans="1:9" x14ac:dyDescent="0.35">
      <c r="A90" s="3" t="s">
        <v>73</v>
      </c>
      <c r="B90" s="11">
        <v>1460</v>
      </c>
      <c r="C90" s="11">
        <v>2290</v>
      </c>
      <c r="D90" s="4">
        <v>0.36</v>
      </c>
      <c r="E90" s="5"/>
      <c r="F90" s="10"/>
      <c r="G90" s="12">
        <f>C90-B90</f>
        <v>830</v>
      </c>
      <c r="H90" s="3" t="str">
        <f>IF(F90="","",IF(F90&lt;3,"Poor",IF(F90&gt;=4.5,"Excellent","Average")))</f>
        <v/>
      </c>
      <c r="I90" s="3" t="str">
        <f>IF(D90="","",IF(D90&lt;20%,"Low Discount",IF(D90&lt;=40%,"Medium Discount","High Discount")))</f>
        <v>Medium Discount</v>
      </c>
    </row>
    <row r="91" spans="1:9" x14ac:dyDescent="0.35">
      <c r="A91" s="3" t="s">
        <v>94</v>
      </c>
      <c r="B91" s="11">
        <v>1150</v>
      </c>
      <c r="C91" s="11">
        <v>1737</v>
      </c>
      <c r="D91" s="4">
        <v>0.34</v>
      </c>
      <c r="E91" s="5"/>
      <c r="F91" s="10"/>
      <c r="G91" s="12">
        <f>C91-B91</f>
        <v>587</v>
      </c>
      <c r="H91" s="3" t="str">
        <f>IF(F91="","",IF(F91&lt;3,"Poor",IF(F91&gt;=4.5,"Excellent","Average")))</f>
        <v/>
      </c>
      <c r="I91" s="3" t="str">
        <f>IF(D91="","",IF(D91&lt;20%,"Low Discount",IF(D91&lt;=40%,"Medium Discount","High Discount")))</f>
        <v>Medium Discount</v>
      </c>
    </row>
    <row r="92" spans="1:9" x14ac:dyDescent="0.35">
      <c r="A92" s="3" t="s">
        <v>95</v>
      </c>
      <c r="B92" s="11">
        <v>1190</v>
      </c>
      <c r="C92" s="11">
        <v>1810</v>
      </c>
      <c r="D92" s="4">
        <v>0.34</v>
      </c>
      <c r="E92" s="5"/>
      <c r="F92" s="10"/>
      <c r="G92" s="12">
        <f>C92-B92</f>
        <v>620</v>
      </c>
      <c r="H92" s="3" t="str">
        <f>IF(F92="","",IF(F92&lt;3,"Poor",IF(F92&gt;=4.5,"Excellent","Average")))</f>
        <v/>
      </c>
      <c r="I92" s="3" t="str">
        <f>IF(D92="","",IF(D92&lt;20%,"Low Discount",IF(D92&lt;=40%,"Medium Discount","High Discount")))</f>
        <v>Medium Discount</v>
      </c>
    </row>
    <row r="93" spans="1:9" x14ac:dyDescent="0.35">
      <c r="A93" s="3" t="s">
        <v>42</v>
      </c>
      <c r="B93" s="11">
        <v>1190</v>
      </c>
      <c r="C93" s="11">
        <v>1785</v>
      </c>
      <c r="D93" s="4">
        <v>0.33</v>
      </c>
      <c r="E93" s="5"/>
      <c r="F93" s="10"/>
      <c r="G93" s="12">
        <f>C93-B93</f>
        <v>595</v>
      </c>
      <c r="H93" s="3" t="str">
        <f>IF(F93="","",IF(F93&lt;3,"Poor",IF(F93&gt;=4.5,"Excellent","Average")))</f>
        <v/>
      </c>
      <c r="I93" s="3" t="str">
        <f>IF(D93="","",IF(D93&lt;20%,"Low Discount",IF(D93&lt;=40%,"Medium Discount","High Discount")))</f>
        <v>Medium Discount</v>
      </c>
    </row>
    <row r="94" spans="1:9" x14ac:dyDescent="0.35">
      <c r="A94" s="3" t="s">
        <v>54</v>
      </c>
      <c r="B94" s="11">
        <v>2799</v>
      </c>
      <c r="C94" s="11">
        <v>3810</v>
      </c>
      <c r="D94" s="4">
        <v>0.27</v>
      </c>
      <c r="E94" s="5"/>
      <c r="F94" s="10"/>
      <c r="G94" s="12">
        <f>C94-B94</f>
        <v>1011</v>
      </c>
      <c r="H94" s="3" t="str">
        <f>IF(F94="","",IF(F94&lt;3,"Poor",IF(F94&gt;=4.5,"Excellent","Average")))</f>
        <v/>
      </c>
      <c r="I94" s="3" t="str">
        <f>IF(D94="","",IF(D94&lt;20%,"Low Discount",IF(D94&lt;=40%,"Medium Discount","High Discount")))</f>
        <v>Medium Discount</v>
      </c>
    </row>
    <row r="95" spans="1:9" x14ac:dyDescent="0.35">
      <c r="A95" s="3" t="s">
        <v>93</v>
      </c>
      <c r="B95" s="11">
        <v>198</v>
      </c>
      <c r="C95" s="11">
        <v>260</v>
      </c>
      <c r="D95" s="4">
        <v>0.24</v>
      </c>
      <c r="E95" s="5"/>
      <c r="F95" s="10"/>
      <c r="G95" s="12">
        <f>C95-B95</f>
        <v>62</v>
      </c>
      <c r="H95" s="3" t="str">
        <f>IF(F95="","",IF(F95&lt;3,"Poor",IF(F95&gt;=4.5,"Excellent","Average")))</f>
        <v/>
      </c>
      <c r="I95" s="3" t="str">
        <f>IF(D95="","",IF(D95&lt;20%,"Low Discount",IF(D95&lt;=40%,"Medium Discount","High Discount")))</f>
        <v>Medium Discount</v>
      </c>
    </row>
    <row r="96" spans="1:9" x14ac:dyDescent="0.35">
      <c r="A96" s="3" t="s">
        <v>48</v>
      </c>
      <c r="B96" s="11">
        <v>299</v>
      </c>
      <c r="C96" s="11">
        <v>384</v>
      </c>
      <c r="D96" s="4">
        <v>0.22</v>
      </c>
      <c r="E96" s="5"/>
      <c r="F96" s="10"/>
      <c r="G96" s="12">
        <f>C96-B96</f>
        <v>85</v>
      </c>
      <c r="H96" s="3" t="str">
        <f>IF(F96="","",IF(F96&lt;3,"Poor",IF(F96&gt;=4.5,"Excellent","Average")))</f>
        <v/>
      </c>
      <c r="I96" s="3" t="str">
        <f>IF(D96="","",IF(D96&lt;20%,"Low Discount",IF(D96&lt;=40%,"Medium Discount","High Discount")))</f>
        <v>Medium Discount</v>
      </c>
    </row>
    <row r="97" spans="1:9" x14ac:dyDescent="0.35">
      <c r="A97" s="3" t="s">
        <v>76</v>
      </c>
      <c r="B97" s="11">
        <v>1466</v>
      </c>
      <c r="C97" s="11">
        <v>1699</v>
      </c>
      <c r="D97" s="4">
        <v>0.14000000000000001</v>
      </c>
      <c r="E97" s="5"/>
      <c r="F97" s="10"/>
      <c r="G97" s="12">
        <f>C97-B97</f>
        <v>233</v>
      </c>
      <c r="H97" s="3" t="str">
        <f>IF(F97="","",IF(F97&lt;3,"Poor",IF(F97&gt;=4.5,"Excellent","Average")))</f>
        <v/>
      </c>
      <c r="I97" s="3" t="str">
        <f>IF(D97="","",IF(D97&lt;20%,"Low Discount",IF(D97&lt;=40%,"Medium Discount","High Discount")))</f>
        <v>Low Discount</v>
      </c>
    </row>
    <row r="98" spans="1:9" x14ac:dyDescent="0.35">
      <c r="A98" s="3" t="s">
        <v>79</v>
      </c>
      <c r="B98" s="11">
        <v>1468</v>
      </c>
      <c r="C98" s="11">
        <v>1699</v>
      </c>
      <c r="D98" s="4">
        <v>0.14000000000000001</v>
      </c>
      <c r="E98" s="5"/>
      <c r="F98" s="10"/>
      <c r="G98" s="12">
        <f>C98-B98</f>
        <v>231</v>
      </c>
      <c r="H98" s="3" t="str">
        <f>IF(F98="","",IF(F98&lt;3,"Poor",IF(F98&gt;=4.5,"Excellent","Average")))</f>
        <v/>
      </c>
      <c r="I98" s="3" t="str">
        <f>IF(D98="","",IF(D98&lt;20%,"Low Discount",IF(D98&lt;=40%,"Medium Discount","High Discount")))</f>
        <v>Low Discount</v>
      </c>
    </row>
    <row r="99" spans="1:9" x14ac:dyDescent="0.35">
      <c r="A99" s="3" t="s">
        <v>78</v>
      </c>
      <c r="B99" s="11">
        <v>799</v>
      </c>
      <c r="C99" s="11">
        <v>900</v>
      </c>
      <c r="D99" s="4">
        <v>0.11</v>
      </c>
      <c r="E99" s="5"/>
      <c r="F99" s="10"/>
      <c r="G99" s="12">
        <f>C99-B99</f>
        <v>101</v>
      </c>
      <c r="H99" s="3" t="str">
        <f>IF(F99="","",IF(F99&lt;3,"Poor",IF(F99&gt;=4.5,"Excellent","Average")))</f>
        <v/>
      </c>
      <c r="I99" s="3" t="str">
        <f>IF(D99="","",IF(D99&lt;20%,"Low Discount",IF(D99&lt;=40%,"Medium Discount","High Discount")))</f>
        <v>Low Discount</v>
      </c>
    </row>
    <row r="100" spans="1:9" x14ac:dyDescent="0.35">
      <c r="A100" s="3" t="s">
        <v>86</v>
      </c>
      <c r="B100" s="11">
        <v>1526</v>
      </c>
      <c r="C100" s="11">
        <v>1660</v>
      </c>
      <c r="D100" s="4">
        <v>0.08</v>
      </c>
      <c r="E100" s="5"/>
      <c r="F100" s="10"/>
      <c r="G100" s="12">
        <f>C100-B100</f>
        <v>134</v>
      </c>
      <c r="H100" s="3" t="str">
        <f>IF(F100="","",IF(F100&lt;3,"Poor",IF(F100&gt;=4.5,"Excellent","Average")))</f>
        <v/>
      </c>
      <c r="I100" s="3" t="str">
        <f>IF(D100="","",IF(D100&lt;20%,"Low Discount",IF(D100&lt;=40%,"Medium Discount","High Discount")))</f>
        <v>Low Discount</v>
      </c>
    </row>
    <row r="101" spans="1:9" x14ac:dyDescent="0.35">
      <c r="A101" s="3" t="s">
        <v>70</v>
      </c>
      <c r="B101" s="11">
        <v>1732</v>
      </c>
      <c r="C101" s="11">
        <v>1799</v>
      </c>
      <c r="D101" s="4">
        <v>0.04</v>
      </c>
      <c r="E101" s="5"/>
      <c r="F101" s="10"/>
      <c r="G101" s="12">
        <f>C101-B101</f>
        <v>67</v>
      </c>
      <c r="H101" s="3" t="str">
        <f>IF(F101="","",IF(F101&lt;3,"Poor",IF(F101&gt;=4.5,"Excellent","Average")))</f>
        <v/>
      </c>
      <c r="I101" s="3" t="str">
        <f>IF(D101="","",IF(D101&lt;20%,"Low Discount",IF(D101&lt;=40%,"Medium Discount","High Discount")))</f>
        <v>Low Discount</v>
      </c>
    </row>
    <row r="102" spans="1:9" x14ac:dyDescent="0.35">
      <c r="A102" s="3" t="s">
        <v>89</v>
      </c>
      <c r="B102" s="11">
        <v>3546</v>
      </c>
      <c r="C102" s="11">
        <v>3699</v>
      </c>
      <c r="D102" s="4">
        <v>0.04</v>
      </c>
      <c r="E102" s="5"/>
      <c r="F102" s="10"/>
      <c r="G102" s="12">
        <f>C102-B102</f>
        <v>153</v>
      </c>
      <c r="H102" s="3" t="str">
        <f>IF(F102="","",IF(F102&lt;3,"Poor",IF(F102&gt;=4.5,"Excellent","Average")))</f>
        <v/>
      </c>
      <c r="I102" s="3" t="str">
        <f>IF(D102="","",IF(D102&lt;20%,"Low Discount",IF(D102&lt;=40%,"Medium Discount","High Discount")))</f>
        <v>Low Discount</v>
      </c>
    </row>
    <row r="103" spans="1:9" x14ac:dyDescent="0.35">
      <c r="A103" s="3" t="s">
        <v>49</v>
      </c>
      <c r="B103" s="11">
        <v>1459</v>
      </c>
      <c r="C103" s="11">
        <v>1499</v>
      </c>
      <c r="D103" s="4">
        <v>0.03</v>
      </c>
      <c r="E103" s="5"/>
      <c r="F103" s="10"/>
      <c r="G103" s="12">
        <f>C103-B103</f>
        <v>40</v>
      </c>
      <c r="H103" s="3" t="str">
        <f>IF(F103="","",IF(F103&lt;3,"Poor",IF(F103&gt;=4.5,"Excellent","Average")))</f>
        <v/>
      </c>
      <c r="I103" s="3" t="str">
        <f>IF(D103="","",IF(D103&lt;20%,"Low Discount",IF(D103&lt;=40%,"Medium Discount","High Discount")))</f>
        <v>Low Discount</v>
      </c>
    </row>
    <row r="104" spans="1:9" x14ac:dyDescent="0.35">
      <c r="A104" s="3" t="s">
        <v>40</v>
      </c>
      <c r="B104" s="11">
        <v>2132</v>
      </c>
      <c r="C104" s="11">
        <v>2169</v>
      </c>
      <c r="D104" s="4">
        <v>0.02</v>
      </c>
      <c r="E104" s="5"/>
      <c r="F104" s="10"/>
      <c r="G104" s="12">
        <f>C104-B104</f>
        <v>37</v>
      </c>
      <c r="H104" s="3" t="str">
        <f>IF(F104="","",IF(F104&lt;3,"Poor",IF(F104&gt;=4.5,"Excellent","Average")))</f>
        <v/>
      </c>
      <c r="I104" s="3" t="str">
        <f>IF(D104="","",IF(D104&lt;20%,"Low Discount",IF(D104&lt;=40%,"Medium Discount","High Discount")))</f>
        <v>Low Discount</v>
      </c>
    </row>
    <row r="105" spans="1:9" x14ac:dyDescent="0.35">
      <c r="A105" s="3" t="s">
        <v>47</v>
      </c>
      <c r="B105" s="11">
        <v>1660</v>
      </c>
      <c r="C105" s="11">
        <v>1699</v>
      </c>
      <c r="D105" s="4">
        <v>0.02</v>
      </c>
      <c r="E105" s="5"/>
      <c r="F105" s="10"/>
      <c r="G105" s="12">
        <f>C105-B105</f>
        <v>39</v>
      </c>
      <c r="H105" s="3" t="str">
        <f>IF(F105="","",IF(F105&lt;3,"Poor",IF(F105&gt;=4.5,"Excellent","Average")))</f>
        <v/>
      </c>
      <c r="I105" s="3" t="str">
        <f>IF(D105="","",IF(D105&lt;20%,"Low Discount",IF(D105&lt;=40%,"Medium Discount","High Discount")))</f>
        <v>Low Discount</v>
      </c>
    </row>
    <row r="106" spans="1:9" x14ac:dyDescent="0.35">
      <c r="A106" s="3" t="s">
        <v>74</v>
      </c>
      <c r="B106" s="11">
        <v>1666</v>
      </c>
      <c r="C106" s="11">
        <v>1699</v>
      </c>
      <c r="D106" s="4">
        <v>0.02</v>
      </c>
      <c r="E106" s="5"/>
      <c r="F106" s="10"/>
      <c r="G106" s="12">
        <f>C106-B106</f>
        <v>33</v>
      </c>
      <c r="H106" s="3" t="str">
        <f>IF(F106="","",IF(F106&lt;3,"Poor",IF(F106&gt;=4.5,"Excellent","Average")))</f>
        <v/>
      </c>
      <c r="I106" s="3" t="str">
        <f>IF(D106="","",IF(D106&lt;20%,"Low Discount",IF(D106&lt;=40%,"Medium Discount","High Discount")))</f>
        <v>Low Discount</v>
      </c>
    </row>
    <row r="107" spans="1:9" x14ac:dyDescent="0.35">
      <c r="A107" s="3" t="s">
        <v>87</v>
      </c>
      <c r="B107" s="11">
        <v>1462</v>
      </c>
      <c r="C107" s="11">
        <v>1499</v>
      </c>
      <c r="D107" s="4">
        <v>0.02</v>
      </c>
      <c r="E107" s="5"/>
      <c r="F107" s="10"/>
      <c r="G107" s="12">
        <f>C107-B107</f>
        <v>37</v>
      </c>
      <c r="H107" s="3" t="str">
        <f>IF(F107="","",IF(F107&lt;3,"Poor",IF(F107&gt;=4.5,"Excellent","Average")))</f>
        <v/>
      </c>
      <c r="I107" s="3" t="str">
        <f>IF(D107="","",IF(D107&lt;20%,"Low Discount",IF(D107&lt;=40%,"Medium Discount","High Discount")))</f>
        <v>Low Discount</v>
      </c>
    </row>
    <row r="108" spans="1:9" x14ac:dyDescent="0.35">
      <c r="A108" s="3" t="s">
        <v>96</v>
      </c>
      <c r="B108" s="11">
        <v>1658</v>
      </c>
      <c r="C108" s="11">
        <v>1699</v>
      </c>
      <c r="D108" s="4">
        <v>0.02</v>
      </c>
      <c r="E108" s="5"/>
      <c r="F108" s="10"/>
      <c r="G108" s="12">
        <f>C108-B108</f>
        <v>41</v>
      </c>
      <c r="H108" s="3" t="str">
        <f>IF(F108="","",IF(F108&lt;3,"Poor",IF(F108&gt;=4.5,"Excellent","Average")))</f>
        <v/>
      </c>
      <c r="I108" s="3" t="str">
        <f>IF(D108="","",IF(D108&lt;20%,"Low Discount",IF(D108&lt;=40%,"Medium Discount","High Discount")))</f>
        <v>Low Discount</v>
      </c>
    </row>
    <row r="109" spans="1:9" x14ac:dyDescent="0.35">
      <c r="A109" s="3" t="s">
        <v>97</v>
      </c>
      <c r="B109" s="11">
        <v>1768</v>
      </c>
      <c r="C109" s="11">
        <v>1799</v>
      </c>
      <c r="D109" s="4">
        <v>0.02</v>
      </c>
      <c r="E109" s="5"/>
      <c r="F109" s="10"/>
      <c r="G109" s="12">
        <f>C109-B109</f>
        <v>31</v>
      </c>
      <c r="H109" s="3" t="str">
        <f>IF(F109="","",IF(F109&lt;3,"Poor",IF(F109&gt;=4.5,"Excellent","Average")))</f>
        <v/>
      </c>
      <c r="I109" s="3" t="str">
        <f>IF(D109="","",IF(D109&lt;20%,"Low Discount",IF(D109&lt;=40%,"Medium Discount","High Discount")))</f>
        <v>Low Discount</v>
      </c>
    </row>
    <row r="110" spans="1:9" x14ac:dyDescent="0.35">
      <c r="A110" s="3" t="s">
        <v>92</v>
      </c>
      <c r="B110" s="11">
        <v>1875</v>
      </c>
      <c r="C110" s="11">
        <v>1899</v>
      </c>
      <c r="D110" s="4">
        <v>0.01</v>
      </c>
      <c r="E110" s="5"/>
      <c r="F110" s="10"/>
      <c r="G110" s="12">
        <f>C110-B110</f>
        <v>24</v>
      </c>
      <c r="H110" s="3" t="str">
        <f>IF(F110="","",IF(F110&lt;3,"Poor",IF(F110&gt;=4.5,"Excellent","Average")))</f>
        <v/>
      </c>
      <c r="I110" s="3" t="str">
        <f>IF(D110="","",IF(D110&lt;20%,"Low Discount",IF(D110&lt;=40%,"Medium Discount","High Discount")))</f>
        <v>Low Discount</v>
      </c>
    </row>
    <row r="113" spans="1:5" x14ac:dyDescent="0.35">
      <c r="A113" s="3" t="s">
        <v>119</v>
      </c>
      <c r="B113" s="3" t="s">
        <v>122</v>
      </c>
      <c r="C113" s="3" t="s">
        <v>121</v>
      </c>
      <c r="D113" s="3" t="s">
        <v>120</v>
      </c>
    </row>
    <row r="114" spans="1:5" x14ac:dyDescent="0.35">
      <c r="A114" s="13">
        <v>1202.7777777777778</v>
      </c>
      <c r="B114" s="13">
        <v>3.8894736842105258</v>
      </c>
      <c r="C114" s="14">
        <v>0.36385321100917423</v>
      </c>
      <c r="D114" s="13">
        <v>1829.7685185185185</v>
      </c>
    </row>
    <row r="115" spans="1:5" x14ac:dyDescent="0.35">
      <c r="B115"/>
      <c r="C115"/>
    </row>
    <row r="116" spans="1:5" x14ac:dyDescent="0.35">
      <c r="A116" s="2" t="s">
        <v>124</v>
      </c>
      <c r="B116" s="6" t="s">
        <v>125</v>
      </c>
      <c r="C116"/>
    </row>
    <row r="117" spans="1:5" x14ac:dyDescent="0.35">
      <c r="A117" s="3" t="str">
        <f>INDEX(A2:A100, MATCH(MAX(B2:B100), B2:B100, 0))</f>
        <v>32PCS Portable Cordless Drill Set With Cyclic Battery Drive -26 Variable Speed</v>
      </c>
      <c r="B117" s="12">
        <f>MAX(B2:B109)</f>
        <v>3750</v>
      </c>
      <c r="C117"/>
    </row>
    <row r="118" spans="1:5" x14ac:dyDescent="0.35">
      <c r="B118"/>
      <c r="C118"/>
    </row>
    <row r="119" spans="1:5" x14ac:dyDescent="0.35">
      <c r="A119" s="2" t="s">
        <v>123</v>
      </c>
      <c r="B119" s="6" t="s">
        <v>125</v>
      </c>
      <c r="C119"/>
    </row>
    <row r="120" spans="1:5" x14ac:dyDescent="0.35">
      <c r="A120" s="3" t="str">
        <f>INDEX(A2:A100, MATCH(MIN(B2:B100), B2:B100, 0))</f>
        <v>3PCS Single Head Knitting Crochet Sweater Needle Set</v>
      </c>
      <c r="B120" s="12">
        <f>MIN(B2:B109)</f>
        <v>38</v>
      </c>
      <c r="C120"/>
    </row>
    <row r="121" spans="1:5" x14ac:dyDescent="0.35">
      <c r="B121"/>
      <c r="C121"/>
    </row>
    <row r="122" spans="1:5" x14ac:dyDescent="0.35">
      <c r="A122" s="2" t="s">
        <v>134</v>
      </c>
      <c r="B122" s="3"/>
      <c r="C122"/>
      <c r="D122" s="71" t="s">
        <v>135</v>
      </c>
      <c r="E122" s="72"/>
    </row>
    <row r="123" spans="1:5" x14ac:dyDescent="0.35">
      <c r="A123" s="19" t="s">
        <v>126</v>
      </c>
      <c r="B123" s="3" t="s">
        <v>121</v>
      </c>
      <c r="C123"/>
      <c r="D123" s="19" t="s">
        <v>126</v>
      </c>
      <c r="E123" s="3" t="s">
        <v>122</v>
      </c>
    </row>
    <row r="124" spans="1:5" x14ac:dyDescent="0.35">
      <c r="A124" s="20" t="s">
        <v>127</v>
      </c>
      <c r="B124" s="14">
        <v>0.48203389830508458</v>
      </c>
      <c r="C124"/>
      <c r="D124" s="20"/>
      <c r="E124" s="13"/>
    </row>
    <row r="125" spans="1:5" x14ac:dyDescent="0.35">
      <c r="A125" s="20" t="s">
        <v>128</v>
      </c>
      <c r="B125" s="14">
        <v>7.2222222222222243E-2</v>
      </c>
      <c r="C125"/>
      <c r="D125" s="20" t="s">
        <v>131</v>
      </c>
      <c r="E125" s="13">
        <v>3.8090909090909082</v>
      </c>
    </row>
    <row r="126" spans="1:5" x14ac:dyDescent="0.35">
      <c r="A126" s="20" t="s">
        <v>129</v>
      </c>
      <c r="B126" s="14">
        <v>0.30999999999999994</v>
      </c>
      <c r="C126"/>
      <c r="D126" s="20" t="s">
        <v>133</v>
      </c>
      <c r="E126" s="13">
        <v>4.7478260869565219</v>
      </c>
    </row>
    <row r="127" spans="1:5" x14ac:dyDescent="0.35">
      <c r="A127" s="20" t="s">
        <v>130</v>
      </c>
      <c r="B127" s="14">
        <v>0.36385321100917439</v>
      </c>
      <c r="C127"/>
      <c r="D127" s="20" t="s">
        <v>132</v>
      </c>
      <c r="E127" s="13">
        <v>2.3916666666666671</v>
      </c>
    </row>
    <row r="128" spans="1:5" x14ac:dyDescent="0.35">
      <c r="B128"/>
      <c r="C128"/>
      <c r="D128" s="20" t="s">
        <v>130</v>
      </c>
      <c r="E128" s="13">
        <v>3.8894736842105244</v>
      </c>
    </row>
    <row r="129" spans="1:3" x14ac:dyDescent="0.35">
      <c r="B129"/>
      <c r="C129"/>
    </row>
    <row r="130" spans="1:3" x14ac:dyDescent="0.35">
      <c r="A130" s="18" t="s">
        <v>136</v>
      </c>
      <c r="B130" s="18"/>
      <c r="C130"/>
    </row>
    <row r="131" spans="1:3" x14ac:dyDescent="0.35">
      <c r="A131" s="3">
        <v>1</v>
      </c>
      <c r="B131" s="3" t="s">
        <v>19</v>
      </c>
      <c r="C131"/>
    </row>
    <row r="132" spans="1:3" x14ac:dyDescent="0.35">
      <c r="A132" s="3">
        <v>2</v>
      </c>
      <c r="B132" s="3" t="s">
        <v>20</v>
      </c>
      <c r="C132"/>
    </row>
    <row r="133" spans="1:3" x14ac:dyDescent="0.35">
      <c r="A133" s="3">
        <v>3</v>
      </c>
      <c r="B133" s="3" t="s">
        <v>21</v>
      </c>
      <c r="C133"/>
    </row>
    <row r="134" spans="1:3" x14ac:dyDescent="0.35">
      <c r="A134" s="3">
        <v>4</v>
      </c>
      <c r="B134" s="3" t="s">
        <v>106</v>
      </c>
      <c r="C134"/>
    </row>
    <row r="135" spans="1:3" x14ac:dyDescent="0.35">
      <c r="A135" s="3">
        <v>5</v>
      </c>
      <c r="B135" s="3" t="s">
        <v>35</v>
      </c>
      <c r="C135"/>
    </row>
    <row r="136" spans="1:3" x14ac:dyDescent="0.35">
      <c r="B136"/>
      <c r="C136"/>
    </row>
    <row r="137" spans="1:3" x14ac:dyDescent="0.35">
      <c r="A137" s="7" t="s">
        <v>138</v>
      </c>
      <c r="B137" s="3"/>
      <c r="C137"/>
    </row>
    <row r="138" spans="1:3" x14ac:dyDescent="0.35">
      <c r="A138" s="3">
        <v>1</v>
      </c>
      <c r="B138" s="3" t="s">
        <v>61</v>
      </c>
      <c r="C138"/>
    </row>
    <row r="139" spans="1:3" x14ac:dyDescent="0.35">
      <c r="A139" s="3">
        <v>2</v>
      </c>
      <c r="B139" s="3" t="s">
        <v>111</v>
      </c>
      <c r="C139"/>
    </row>
    <row r="140" spans="1:3" x14ac:dyDescent="0.35">
      <c r="A140" s="3">
        <v>3</v>
      </c>
      <c r="B140" s="3" t="s">
        <v>57</v>
      </c>
      <c r="C140"/>
    </row>
    <row r="141" spans="1:3" x14ac:dyDescent="0.35">
      <c r="A141" s="3">
        <v>4</v>
      </c>
      <c r="B141" s="3" t="s">
        <v>112</v>
      </c>
    </row>
    <row r="142" spans="1:3" x14ac:dyDescent="0.35">
      <c r="A142" s="3">
        <v>5</v>
      </c>
      <c r="B142" s="3" t="s">
        <v>99</v>
      </c>
    </row>
    <row r="145" spans="1:10" x14ac:dyDescent="0.35">
      <c r="A145" s="17" t="s">
        <v>139</v>
      </c>
      <c r="B145" s="17"/>
      <c r="C145" s="17"/>
      <c r="D145" s="57"/>
      <c r="E145" s="57"/>
      <c r="F145" s="17" t="s">
        <v>140</v>
      </c>
      <c r="G145" s="17"/>
      <c r="H145" s="17"/>
      <c r="I145" s="17"/>
      <c r="J145" s="17"/>
    </row>
    <row r="167" spans="1:2" x14ac:dyDescent="0.35">
      <c r="A167" s="18" t="s">
        <v>141</v>
      </c>
      <c r="B167" s="18"/>
    </row>
    <row r="168" spans="1:2" x14ac:dyDescent="0.35">
      <c r="A168" s="16" t="s">
        <v>143</v>
      </c>
      <c r="B168" s="7" t="s">
        <v>144</v>
      </c>
    </row>
    <row r="169" spans="1:2" x14ac:dyDescent="0.35">
      <c r="A169" s="3" t="s">
        <v>98</v>
      </c>
      <c r="B169" s="4">
        <v>0.64</v>
      </c>
    </row>
    <row r="170" spans="1:2" x14ac:dyDescent="0.35">
      <c r="A170" s="3" t="s">
        <v>45</v>
      </c>
      <c r="B170" s="4">
        <v>0.61</v>
      </c>
    </row>
    <row r="171" spans="1:2" x14ac:dyDescent="0.35">
      <c r="A171" s="3" t="s">
        <v>12</v>
      </c>
      <c r="B171" s="4">
        <v>0.55000000000000004</v>
      </c>
    </row>
    <row r="172" spans="1:2" x14ac:dyDescent="0.35">
      <c r="A172" s="3" t="s">
        <v>57</v>
      </c>
      <c r="B172" s="4">
        <v>0.55000000000000004</v>
      </c>
    </row>
    <row r="173" spans="1:2" x14ac:dyDescent="0.35">
      <c r="A173" s="3" t="s">
        <v>26</v>
      </c>
      <c r="B173" s="4">
        <v>0.54</v>
      </c>
    </row>
    <row r="174" spans="1:2" x14ac:dyDescent="0.35">
      <c r="A174" s="3" t="s">
        <v>56</v>
      </c>
      <c r="B174" s="4">
        <v>0.54</v>
      </c>
    </row>
    <row r="175" spans="1:2" x14ac:dyDescent="0.35">
      <c r="A175" s="3" t="s">
        <v>35</v>
      </c>
      <c r="B175" s="4">
        <v>0.53</v>
      </c>
    </row>
    <row r="176" spans="1:2" x14ac:dyDescent="0.35">
      <c r="A176" s="3" t="s">
        <v>24</v>
      </c>
      <c r="B176" s="4">
        <v>0.53</v>
      </c>
    </row>
    <row r="177" spans="1:2" x14ac:dyDescent="0.35">
      <c r="A177" s="3" t="s">
        <v>31</v>
      </c>
      <c r="B177" s="4">
        <v>0.52</v>
      </c>
    </row>
    <row r="178" spans="1:2" x14ac:dyDescent="0.35">
      <c r="A178" s="3" t="s">
        <v>59</v>
      </c>
      <c r="B178" s="4">
        <v>0.52</v>
      </c>
    </row>
    <row r="181" spans="1:2" x14ac:dyDescent="0.35">
      <c r="A181" s="18" t="s">
        <v>142</v>
      </c>
      <c r="B181" s="18"/>
    </row>
    <row r="182" spans="1:2" x14ac:dyDescent="0.35">
      <c r="A182" s="16" t="s">
        <v>143</v>
      </c>
      <c r="B182" s="7" t="s">
        <v>145</v>
      </c>
    </row>
    <row r="183" spans="1:2" x14ac:dyDescent="0.35">
      <c r="A183" s="3" t="s">
        <v>58</v>
      </c>
      <c r="B183" s="3">
        <v>69</v>
      </c>
    </row>
    <row r="184" spans="1:2" x14ac:dyDescent="0.35">
      <c r="A184" s="3" t="s">
        <v>10</v>
      </c>
      <c r="B184" s="3">
        <v>55</v>
      </c>
    </row>
    <row r="185" spans="1:2" x14ac:dyDescent="0.35">
      <c r="A185" s="3" t="s">
        <v>27</v>
      </c>
      <c r="B185" s="3">
        <v>49</v>
      </c>
    </row>
    <row r="186" spans="1:2" x14ac:dyDescent="0.35">
      <c r="A186" s="3" t="s">
        <v>23</v>
      </c>
      <c r="B186" s="3">
        <v>44</v>
      </c>
    </row>
    <row r="187" spans="1:2" x14ac:dyDescent="0.35">
      <c r="A187" s="3" t="s">
        <v>15</v>
      </c>
      <c r="B187" s="3">
        <v>39</v>
      </c>
    </row>
    <row r="188" spans="1:2" x14ac:dyDescent="0.35">
      <c r="A188" s="3" t="s">
        <v>36</v>
      </c>
      <c r="B188" s="3">
        <v>36</v>
      </c>
    </row>
    <row r="189" spans="1:2" x14ac:dyDescent="0.35">
      <c r="A189" s="3" t="s">
        <v>34</v>
      </c>
      <c r="B189" s="3">
        <v>32</v>
      </c>
    </row>
    <row r="190" spans="1:2" x14ac:dyDescent="0.35">
      <c r="A190" s="3" t="s">
        <v>7</v>
      </c>
      <c r="B190" s="3">
        <v>24</v>
      </c>
    </row>
    <row r="191" spans="1:2" x14ac:dyDescent="0.35">
      <c r="A191" s="3" t="s">
        <v>30</v>
      </c>
      <c r="B191" s="3">
        <v>20</v>
      </c>
    </row>
    <row r="192" spans="1:2" x14ac:dyDescent="0.35">
      <c r="A192" s="3" t="s">
        <v>33</v>
      </c>
      <c r="B192" s="3">
        <v>20</v>
      </c>
    </row>
    <row r="194" spans="1:4" x14ac:dyDescent="0.35">
      <c r="A194" s="22" t="s">
        <v>148</v>
      </c>
      <c r="B194" s="22"/>
      <c r="C194" s="22"/>
      <c r="D194" s="22"/>
    </row>
    <row r="195" spans="1:4" x14ac:dyDescent="0.35">
      <c r="A195" s="19" t="s">
        <v>126</v>
      </c>
      <c r="B195" s="3" t="s">
        <v>122</v>
      </c>
      <c r="C195" s="3" t="s">
        <v>119</v>
      </c>
      <c r="D195" s="3" t="s">
        <v>147</v>
      </c>
    </row>
    <row r="196" spans="1:4" x14ac:dyDescent="0.35">
      <c r="A196" s="20" t="s">
        <v>127</v>
      </c>
      <c r="B196" s="13">
        <v>3.6133333333333324</v>
      </c>
      <c r="C196" s="13">
        <v>774</v>
      </c>
      <c r="D196" s="13">
        <v>-11.133333333333333</v>
      </c>
    </row>
    <row r="197" spans="1:4" x14ac:dyDescent="0.35">
      <c r="A197" s="20" t="s">
        <v>128</v>
      </c>
      <c r="B197" s="13">
        <v>3.7249999999999996</v>
      </c>
      <c r="C197" s="13">
        <v>1959.1666666666667</v>
      </c>
      <c r="D197" s="13">
        <v>-9.5</v>
      </c>
    </row>
    <row r="198" spans="1:4" x14ac:dyDescent="0.35">
      <c r="A198" s="20" t="s">
        <v>129</v>
      </c>
      <c r="B198" s="13">
        <v>4.2782608695652184</v>
      </c>
      <c r="C198" s="13">
        <v>1579.6451612903227</v>
      </c>
      <c r="D198" s="13">
        <v>-15.260869565217391</v>
      </c>
    </row>
    <row r="199" spans="1:4" x14ac:dyDescent="0.35">
      <c r="A199" s="20" t="s">
        <v>130</v>
      </c>
      <c r="B199" s="13">
        <v>3.8894736842105253</v>
      </c>
      <c r="C199" s="13">
        <v>1202.7777777777778</v>
      </c>
      <c r="D199" s="13">
        <v>-12.684210526315789</v>
      </c>
    </row>
    <row r="200" spans="1:4" x14ac:dyDescent="0.35">
      <c r="B200"/>
      <c r="C200"/>
    </row>
    <row r="201" spans="1:4" x14ac:dyDescent="0.35">
      <c r="B201"/>
      <c r="C201"/>
    </row>
    <row r="202" spans="1:4" x14ac:dyDescent="0.35">
      <c r="B202"/>
      <c r="C202"/>
    </row>
    <row r="203" spans="1:4" x14ac:dyDescent="0.35">
      <c r="B203"/>
      <c r="C203"/>
    </row>
    <row r="204" spans="1:4" x14ac:dyDescent="0.35">
      <c r="B204"/>
      <c r="C204"/>
    </row>
    <row r="205" spans="1:4" x14ac:dyDescent="0.35">
      <c r="B205"/>
      <c r="C205"/>
    </row>
    <row r="206" spans="1:4" x14ac:dyDescent="0.35">
      <c r="B206"/>
      <c r="C206"/>
    </row>
    <row r="207" spans="1:4" x14ac:dyDescent="0.35">
      <c r="B207"/>
      <c r="C207"/>
    </row>
    <row r="208" spans="1:4" x14ac:dyDescent="0.35">
      <c r="B208"/>
      <c r="C208"/>
    </row>
    <row r="209" spans="2:3" x14ac:dyDescent="0.35">
      <c r="B209"/>
      <c r="C209"/>
    </row>
    <row r="210" spans="2:3" x14ac:dyDescent="0.35">
      <c r="B210"/>
      <c r="C210"/>
    </row>
    <row r="211" spans="2:3" x14ac:dyDescent="0.35">
      <c r="B211"/>
      <c r="C211"/>
    </row>
    <row r="212" spans="2:3" x14ac:dyDescent="0.35">
      <c r="B212"/>
      <c r="C212"/>
    </row>
  </sheetData>
  <autoFilter ref="A1:F110">
    <sortState ref="A2:F110">
      <sortCondition descending="1" ref="E1:E110"/>
    </sortState>
  </autoFilter>
  <sortState ref="A2:I110">
    <sortCondition descending="1" ref="F2"/>
  </sortState>
  <mergeCells count="7">
    <mergeCell ref="A145:C145"/>
    <mergeCell ref="F145:J145"/>
    <mergeCell ref="A167:B167"/>
    <mergeCell ref="A181:B181"/>
    <mergeCell ref="A194:D194"/>
    <mergeCell ref="D122:E122"/>
    <mergeCell ref="A130:B130"/>
  </mergeCells>
  <pageMargins left="0.7" right="0.7" top="0.75" bottom="0.75" header="0.3" footer="0.3"/>
  <pageSetup orientation="portrait" r:id="rId5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1"/>
  <sheetViews>
    <sheetView topLeftCell="E1" workbookViewId="0">
      <selection activeCell="J4" sqref="J4:K4"/>
    </sheetView>
  </sheetViews>
  <sheetFormatPr defaultRowHeight="14.5" x14ac:dyDescent="0.35"/>
  <cols>
    <col min="1" max="1" width="15.81640625" bestFit="1" customWidth="1"/>
    <col min="2" max="2" width="21.26953125" customWidth="1"/>
    <col min="5" max="5" width="61.453125" bestFit="1" customWidth="1"/>
    <col min="8" max="8" width="10.36328125" customWidth="1"/>
  </cols>
  <sheetData>
    <row r="1" spans="1:19" ht="21" x14ac:dyDescent="0.5">
      <c r="A1" s="23" t="s">
        <v>149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9" ht="15" thickBot="1" x14ac:dyDescent="0.4">
      <c r="A2" s="62" t="s">
        <v>168</v>
      </c>
      <c r="B2" s="62"/>
      <c r="C2" s="62"/>
      <c r="D2" s="62"/>
      <c r="E2" s="62"/>
      <c r="F2" s="62"/>
      <c r="G2" s="62"/>
      <c r="H2" s="62"/>
      <c r="I2" s="62"/>
      <c r="J2" s="62"/>
      <c r="K2" s="62"/>
    </row>
    <row r="3" spans="1:19" x14ac:dyDescent="0.35">
      <c r="A3" s="28" t="s">
        <v>150</v>
      </c>
      <c r="B3" s="29"/>
      <c r="C3" s="63"/>
      <c r="D3" s="28" t="s">
        <v>153</v>
      </c>
      <c r="E3" s="29"/>
      <c r="F3" s="63"/>
      <c r="G3" s="28" t="s">
        <v>154</v>
      </c>
      <c r="H3" s="29"/>
      <c r="I3" s="63"/>
      <c r="J3" s="34" t="s">
        <v>155</v>
      </c>
      <c r="K3" s="35"/>
      <c r="O3" s="70"/>
      <c r="P3" s="70"/>
      <c r="Q3" s="70"/>
      <c r="R3" s="70"/>
      <c r="S3" s="70"/>
    </row>
    <row r="4" spans="1:19" ht="15" thickBot="1" x14ac:dyDescent="0.4">
      <c r="A4" s="30">
        <f>Pivots!A4</f>
        <v>109</v>
      </c>
      <c r="B4" s="31"/>
      <c r="C4" s="63"/>
      <c r="D4" s="32">
        <f>Pivots!A8</f>
        <v>3.8894736842105258</v>
      </c>
      <c r="E4" s="31"/>
      <c r="F4" s="63"/>
      <c r="G4" s="33">
        <f>Pivots!A12</f>
        <v>0.36385321100917423</v>
      </c>
      <c r="H4" s="31"/>
      <c r="I4" s="63"/>
      <c r="J4" s="32">
        <f>Pivots!A15</f>
        <v>-723</v>
      </c>
      <c r="K4" s="31"/>
      <c r="O4" s="43"/>
      <c r="P4" s="43"/>
      <c r="Q4" s="43"/>
      <c r="R4" s="43"/>
      <c r="S4" s="43"/>
    </row>
    <row r="5" spans="1:19" x14ac:dyDescent="0.35">
      <c r="A5" s="37" t="s">
        <v>133</v>
      </c>
      <c r="B5" s="38"/>
      <c r="C5" s="63"/>
      <c r="D5" s="37" t="s">
        <v>131</v>
      </c>
      <c r="E5" s="38"/>
      <c r="F5" s="63"/>
      <c r="G5" s="37" t="s">
        <v>132</v>
      </c>
      <c r="H5" s="38"/>
      <c r="I5" s="63"/>
      <c r="J5" s="37" t="s">
        <v>157</v>
      </c>
      <c r="K5" s="38"/>
      <c r="O5" s="15"/>
      <c r="P5" s="15"/>
      <c r="Q5" s="58"/>
      <c r="R5" s="15"/>
      <c r="S5" s="44"/>
    </row>
    <row r="6" spans="1:19" ht="15" thickBot="1" x14ac:dyDescent="0.4">
      <c r="A6" s="39">
        <f>Pivots!E5</f>
        <v>23</v>
      </c>
      <c r="B6" s="40"/>
      <c r="C6" s="63"/>
      <c r="D6" s="39">
        <f>Pivots!E4</f>
        <v>22</v>
      </c>
      <c r="E6" s="40"/>
      <c r="F6" s="63"/>
      <c r="G6" s="41">
        <f>Pivots!E6</f>
        <v>12</v>
      </c>
      <c r="H6" s="42"/>
      <c r="I6" s="63"/>
      <c r="J6" s="39">
        <f>Pivots!D12</f>
        <v>57</v>
      </c>
      <c r="K6" s="40"/>
      <c r="O6" s="15"/>
      <c r="P6" s="15"/>
      <c r="Q6" s="58"/>
      <c r="R6" s="15"/>
      <c r="S6" s="44"/>
    </row>
    <row r="7" spans="1:19" x14ac:dyDescent="0.35">
      <c r="O7" s="15"/>
      <c r="P7" s="15"/>
      <c r="Q7" s="58"/>
      <c r="R7" s="15"/>
      <c r="S7" s="44"/>
    </row>
    <row r="8" spans="1:19" x14ac:dyDescent="0.35">
      <c r="O8" s="15"/>
      <c r="P8" s="15"/>
      <c r="Q8" s="58"/>
      <c r="R8" s="15"/>
      <c r="S8" s="44"/>
    </row>
    <row r="9" spans="1:19" ht="15" thickBot="1" x14ac:dyDescent="0.4">
      <c r="O9" s="15"/>
      <c r="P9" s="15"/>
      <c r="Q9" s="58"/>
      <c r="R9" s="15"/>
      <c r="S9" s="44"/>
    </row>
    <row r="10" spans="1:19" ht="15" thickBot="1" x14ac:dyDescent="0.4">
      <c r="D10" s="64" t="s">
        <v>159</v>
      </c>
      <c r="E10" s="65"/>
      <c r="F10" s="65"/>
      <c r="G10" s="65"/>
      <c r="H10" s="66"/>
      <c r="I10" s="43"/>
      <c r="O10" s="15"/>
      <c r="P10" s="15"/>
      <c r="Q10" s="58"/>
      <c r="R10" s="15"/>
      <c r="S10" s="44"/>
    </row>
    <row r="11" spans="1:19" ht="15" thickBot="1" x14ac:dyDescent="0.4">
      <c r="D11" s="54" t="s">
        <v>160</v>
      </c>
      <c r="E11" s="55" t="s">
        <v>0</v>
      </c>
      <c r="F11" s="55" t="s">
        <v>3</v>
      </c>
      <c r="G11" s="55" t="s">
        <v>4</v>
      </c>
      <c r="H11" s="56" t="s">
        <v>137</v>
      </c>
      <c r="I11" s="15"/>
      <c r="O11" s="15"/>
      <c r="P11" s="15"/>
      <c r="Q11" s="58"/>
      <c r="R11" s="15"/>
      <c r="S11" s="44"/>
    </row>
    <row r="12" spans="1:19" x14ac:dyDescent="0.35">
      <c r="D12" s="51">
        <v>1</v>
      </c>
      <c r="E12" s="27" t="s">
        <v>58</v>
      </c>
      <c r="F12" s="52">
        <v>0.49</v>
      </c>
      <c r="G12" s="27">
        <v>69</v>
      </c>
      <c r="H12" s="53">
        <v>2.8</v>
      </c>
      <c r="I12" s="15"/>
      <c r="O12" s="15"/>
      <c r="P12" s="15"/>
      <c r="Q12" s="58"/>
      <c r="R12" s="15"/>
      <c r="S12" s="44"/>
    </row>
    <row r="13" spans="1:19" x14ac:dyDescent="0.35">
      <c r="D13" s="45">
        <v>2</v>
      </c>
      <c r="E13" s="3" t="s">
        <v>10</v>
      </c>
      <c r="F13" s="4">
        <v>0.24</v>
      </c>
      <c r="G13" s="3">
        <v>55</v>
      </c>
      <c r="H13" s="46">
        <v>4.5999999999999996</v>
      </c>
      <c r="I13" s="15"/>
      <c r="O13" s="15"/>
      <c r="P13" s="15"/>
      <c r="Q13" s="58"/>
      <c r="R13" s="15"/>
      <c r="S13" s="44"/>
    </row>
    <row r="14" spans="1:19" x14ac:dyDescent="0.35">
      <c r="D14" s="45">
        <v>3</v>
      </c>
      <c r="E14" s="3" t="s">
        <v>27</v>
      </c>
      <c r="F14" s="4">
        <v>0.35</v>
      </c>
      <c r="G14" s="3">
        <v>49</v>
      </c>
      <c r="H14" s="46">
        <v>4.5999999999999996</v>
      </c>
      <c r="I14" s="15"/>
      <c r="O14" s="15"/>
      <c r="P14" s="15"/>
      <c r="Q14" s="58"/>
      <c r="R14" s="15"/>
      <c r="S14" s="44"/>
    </row>
    <row r="15" spans="1:19" x14ac:dyDescent="0.35">
      <c r="D15" s="45">
        <v>4</v>
      </c>
      <c r="E15" s="3" t="s">
        <v>23</v>
      </c>
      <c r="F15" s="4">
        <v>0.49</v>
      </c>
      <c r="G15" s="3">
        <v>44</v>
      </c>
      <c r="H15" s="46">
        <v>4.5999999999999996</v>
      </c>
      <c r="I15" s="15"/>
    </row>
    <row r="16" spans="1:19" x14ac:dyDescent="0.35">
      <c r="D16" s="45">
        <v>5</v>
      </c>
      <c r="E16" s="3" t="s">
        <v>15</v>
      </c>
      <c r="F16" s="4">
        <v>0.34</v>
      </c>
      <c r="G16" s="3">
        <v>39</v>
      </c>
      <c r="H16" s="46">
        <v>4.7</v>
      </c>
      <c r="I16" s="15"/>
    </row>
    <row r="17" spans="1:16" x14ac:dyDescent="0.35">
      <c r="D17" s="45">
        <v>6</v>
      </c>
      <c r="E17" s="3" t="s">
        <v>36</v>
      </c>
      <c r="F17" s="4">
        <v>0.41</v>
      </c>
      <c r="G17" s="3">
        <v>36</v>
      </c>
      <c r="H17" s="46">
        <v>4.3</v>
      </c>
      <c r="I17" s="15"/>
    </row>
    <row r="18" spans="1:16" x14ac:dyDescent="0.35">
      <c r="D18" s="45">
        <v>7</v>
      </c>
      <c r="E18" s="3" t="s">
        <v>34</v>
      </c>
      <c r="F18" s="4">
        <v>0.27</v>
      </c>
      <c r="G18" s="3">
        <v>32</v>
      </c>
      <c r="H18" s="46">
        <v>4.5</v>
      </c>
      <c r="I18" s="15"/>
    </row>
    <row r="19" spans="1:16" x14ac:dyDescent="0.35">
      <c r="D19" s="45">
        <v>8</v>
      </c>
      <c r="E19" s="3" t="s">
        <v>7</v>
      </c>
      <c r="F19" s="4">
        <v>0.25</v>
      </c>
      <c r="G19" s="3">
        <v>24</v>
      </c>
      <c r="H19" s="46">
        <v>4.5999999999999996</v>
      </c>
      <c r="I19" s="15"/>
    </row>
    <row r="20" spans="1:16" x14ac:dyDescent="0.35">
      <c r="D20" s="45">
        <v>9</v>
      </c>
      <c r="E20" s="3" t="s">
        <v>30</v>
      </c>
      <c r="F20" s="4">
        <v>0.3</v>
      </c>
      <c r="G20" s="3">
        <v>20</v>
      </c>
      <c r="H20" s="46">
        <v>4.0999999999999996</v>
      </c>
      <c r="I20" s="15"/>
    </row>
    <row r="21" spans="1:16" ht="15" thickBot="1" x14ac:dyDescent="0.4">
      <c r="A21" s="15"/>
      <c r="B21" s="15"/>
      <c r="C21" s="15"/>
      <c r="D21" s="47">
        <v>10</v>
      </c>
      <c r="E21" s="48" t="s">
        <v>33</v>
      </c>
      <c r="F21" s="49">
        <v>0.27</v>
      </c>
      <c r="G21" s="48">
        <v>20</v>
      </c>
      <c r="H21" s="50">
        <v>4.7</v>
      </c>
      <c r="I21" s="15"/>
    </row>
    <row r="22" spans="1:16" x14ac:dyDescent="0.35">
      <c r="A22" s="15"/>
      <c r="B22" s="15"/>
      <c r="C22" s="15"/>
      <c r="D22" s="15"/>
      <c r="E22" s="15"/>
      <c r="F22" s="58"/>
      <c r="G22" s="15"/>
      <c r="H22" s="44"/>
      <c r="I22" s="15"/>
    </row>
    <row r="23" spans="1:16" ht="15" thickBot="1" x14ac:dyDescent="0.4">
      <c r="E23" s="21"/>
    </row>
    <row r="24" spans="1:16" ht="15" thickBot="1" x14ac:dyDescent="0.4">
      <c r="A24" s="64" t="s">
        <v>161</v>
      </c>
      <c r="B24" s="65"/>
      <c r="C24" s="65"/>
      <c r="D24" s="65"/>
      <c r="E24" s="65"/>
      <c r="F24" s="65"/>
      <c r="G24" s="66"/>
      <c r="I24" s="64" t="s">
        <v>162</v>
      </c>
      <c r="J24" s="65"/>
      <c r="K24" s="65"/>
      <c r="L24" s="65"/>
      <c r="M24" s="65"/>
      <c r="N24" s="65"/>
      <c r="O24" s="65"/>
      <c r="P24" s="66"/>
    </row>
    <row r="41" spans="1:16" ht="15" thickBot="1" x14ac:dyDescent="0.4"/>
    <row r="42" spans="1:16" ht="15" thickBot="1" x14ac:dyDescent="0.4">
      <c r="A42" s="67" t="s">
        <v>163</v>
      </c>
      <c r="B42" s="68"/>
      <c r="C42" s="68"/>
      <c r="D42" s="68"/>
      <c r="E42" s="68"/>
      <c r="F42" s="68"/>
      <c r="G42" s="69"/>
      <c r="I42" s="67" t="s">
        <v>164</v>
      </c>
      <c r="J42" s="68"/>
      <c r="K42" s="68"/>
      <c r="L42" s="68"/>
      <c r="M42" s="68"/>
      <c r="N42" s="68"/>
      <c r="O42" s="68"/>
      <c r="P42" s="69"/>
    </row>
    <row r="60" spans="1:16" ht="15" thickBot="1" x14ac:dyDescent="0.4"/>
    <row r="61" spans="1:16" ht="15" thickBot="1" x14ac:dyDescent="0.4">
      <c r="A61" s="64" t="s">
        <v>165</v>
      </c>
      <c r="B61" s="65"/>
      <c r="C61" s="65"/>
      <c r="D61" s="65"/>
      <c r="E61" s="65"/>
      <c r="F61" s="65"/>
      <c r="G61" s="66"/>
      <c r="I61" s="64" t="s">
        <v>166</v>
      </c>
      <c r="J61" s="65"/>
      <c r="K61" s="65"/>
      <c r="L61" s="65"/>
      <c r="M61" s="65"/>
      <c r="N61" s="65"/>
      <c r="O61" s="65"/>
      <c r="P61" s="66"/>
    </row>
    <row r="79" spans="1:4" ht="15" thickBot="1" x14ac:dyDescent="0.4"/>
    <row r="80" spans="1:4" ht="15" thickBot="1" x14ac:dyDescent="0.4">
      <c r="A80" s="59" t="s">
        <v>167</v>
      </c>
      <c r="B80" s="60"/>
      <c r="C80" s="60"/>
      <c r="D80" s="61"/>
    </row>
    <row r="81" spans="1:4" ht="15" thickBot="1" x14ac:dyDescent="0.4">
      <c r="A81" s="54" t="s">
        <v>160</v>
      </c>
      <c r="B81" s="55" t="s">
        <v>0</v>
      </c>
      <c r="C81" s="55" t="s">
        <v>4</v>
      </c>
      <c r="D81" s="56" t="s">
        <v>137</v>
      </c>
    </row>
    <row r="82" spans="1:4" x14ac:dyDescent="0.35">
      <c r="A82" s="51">
        <v>1</v>
      </c>
      <c r="B82" s="27" t="s">
        <v>35</v>
      </c>
      <c r="C82" s="27">
        <v>2</v>
      </c>
      <c r="D82" s="53">
        <v>5</v>
      </c>
    </row>
    <row r="83" spans="1:4" x14ac:dyDescent="0.35">
      <c r="A83" s="45">
        <v>2</v>
      </c>
      <c r="B83" s="3" t="s">
        <v>19</v>
      </c>
      <c r="C83" s="3">
        <v>2</v>
      </c>
      <c r="D83" s="46">
        <v>5</v>
      </c>
    </row>
    <row r="84" spans="1:4" x14ac:dyDescent="0.35">
      <c r="A84" s="45">
        <v>3</v>
      </c>
      <c r="B84" s="3" t="s">
        <v>21</v>
      </c>
      <c r="C84" s="3">
        <v>3</v>
      </c>
      <c r="D84" s="46">
        <v>5</v>
      </c>
    </row>
    <row r="85" spans="1:4" x14ac:dyDescent="0.35">
      <c r="A85" s="45">
        <v>4</v>
      </c>
      <c r="B85" s="3" t="s">
        <v>72</v>
      </c>
      <c r="C85" s="3">
        <v>1</v>
      </c>
      <c r="D85" s="46">
        <v>5</v>
      </c>
    </row>
    <row r="86" spans="1:4" x14ac:dyDescent="0.35">
      <c r="A86" s="45">
        <v>5</v>
      </c>
      <c r="B86" s="3" t="s">
        <v>20</v>
      </c>
      <c r="C86" s="3">
        <v>2</v>
      </c>
      <c r="D86" s="46">
        <v>5</v>
      </c>
    </row>
    <row r="87" spans="1:4" x14ac:dyDescent="0.35">
      <c r="A87" s="45">
        <v>6</v>
      </c>
      <c r="B87" s="3" t="s">
        <v>106</v>
      </c>
      <c r="C87" s="3">
        <v>1</v>
      </c>
      <c r="D87" s="46">
        <v>5</v>
      </c>
    </row>
    <row r="88" spans="1:4" x14ac:dyDescent="0.35">
      <c r="A88" s="45">
        <v>7</v>
      </c>
      <c r="B88" s="3" t="s">
        <v>114</v>
      </c>
      <c r="C88" s="3">
        <v>1</v>
      </c>
      <c r="D88" s="46">
        <v>5</v>
      </c>
    </row>
    <row r="89" spans="1:4" x14ac:dyDescent="0.35">
      <c r="A89" s="45">
        <v>8</v>
      </c>
      <c r="B89" s="3" t="s">
        <v>12</v>
      </c>
      <c r="C89" s="3">
        <v>5</v>
      </c>
      <c r="D89" s="46">
        <v>4.8</v>
      </c>
    </row>
    <row r="90" spans="1:4" x14ac:dyDescent="0.35">
      <c r="A90" s="45">
        <v>9</v>
      </c>
      <c r="B90" s="3" t="s">
        <v>16</v>
      </c>
      <c r="C90" s="3">
        <v>12</v>
      </c>
      <c r="D90" s="46">
        <v>4.8</v>
      </c>
    </row>
    <row r="91" spans="1:4" ht="15" thickBot="1" x14ac:dyDescent="0.4">
      <c r="A91" s="47">
        <v>10</v>
      </c>
      <c r="B91" s="48" t="s">
        <v>9</v>
      </c>
      <c r="C91" s="48">
        <v>5</v>
      </c>
      <c r="D91" s="50">
        <v>4.8</v>
      </c>
    </row>
  </sheetData>
  <mergeCells count="25">
    <mergeCell ref="A61:G61"/>
    <mergeCell ref="I61:P61"/>
    <mergeCell ref="A80:D80"/>
    <mergeCell ref="A2:K2"/>
    <mergeCell ref="A24:G24"/>
    <mergeCell ref="D10:H10"/>
    <mergeCell ref="I24:P24"/>
    <mergeCell ref="A42:G42"/>
    <mergeCell ref="I42:P42"/>
    <mergeCell ref="J4:K4"/>
    <mergeCell ref="A1:K1"/>
    <mergeCell ref="A5:B5"/>
    <mergeCell ref="A6:B6"/>
    <mergeCell ref="D5:E5"/>
    <mergeCell ref="D6:E6"/>
    <mergeCell ref="G5:H5"/>
    <mergeCell ref="G6:H6"/>
    <mergeCell ref="J5:K5"/>
    <mergeCell ref="J6:K6"/>
    <mergeCell ref="A3:B3"/>
    <mergeCell ref="A4:B4"/>
    <mergeCell ref="D3:E3"/>
    <mergeCell ref="D4:E4"/>
    <mergeCell ref="G3:H3"/>
    <mergeCell ref="G4:H4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0"/>
  <sheetViews>
    <sheetView workbookViewId="0">
      <selection activeCell="A15" sqref="A15"/>
    </sheetView>
  </sheetViews>
  <sheetFormatPr defaultRowHeight="14.5" x14ac:dyDescent="0.35"/>
  <cols>
    <col min="1" max="1" width="13.08984375" customWidth="1"/>
    <col min="4" max="4" width="12.36328125" customWidth="1"/>
    <col min="5" max="5" width="22" customWidth="1"/>
    <col min="7" max="7" width="15.6328125" bestFit="1" customWidth="1"/>
    <col min="8" max="8" width="26.08984375" bestFit="1" customWidth="1"/>
  </cols>
  <sheetData>
    <row r="2" spans="1:8" x14ac:dyDescent="0.35">
      <c r="A2" s="24" t="s">
        <v>152</v>
      </c>
      <c r="B2" s="25"/>
      <c r="D2" s="19" t="s">
        <v>126</v>
      </c>
      <c r="E2" s="3" t="s">
        <v>158</v>
      </c>
      <c r="G2" s="19" t="s">
        <v>126</v>
      </c>
      <c r="H2" s="3" t="s">
        <v>146</v>
      </c>
    </row>
    <row r="3" spans="1:8" x14ac:dyDescent="0.35">
      <c r="A3" s="3" t="s">
        <v>151</v>
      </c>
      <c r="B3" s="3"/>
      <c r="D3" s="20"/>
      <c r="E3" s="26">
        <v>52</v>
      </c>
      <c r="G3" s="20" t="s">
        <v>127</v>
      </c>
      <c r="H3" s="26">
        <v>59</v>
      </c>
    </row>
    <row r="4" spans="1:8" x14ac:dyDescent="0.35">
      <c r="A4" s="13">
        <v>109</v>
      </c>
      <c r="B4" s="3"/>
      <c r="D4" s="20" t="s">
        <v>131</v>
      </c>
      <c r="E4" s="26">
        <v>22</v>
      </c>
      <c r="G4" s="20" t="s">
        <v>128</v>
      </c>
      <c r="H4" s="26">
        <v>18</v>
      </c>
    </row>
    <row r="5" spans="1:8" x14ac:dyDescent="0.35">
      <c r="D5" s="20" t="s">
        <v>133</v>
      </c>
      <c r="E5" s="26">
        <v>23</v>
      </c>
      <c r="G5" s="20" t="s">
        <v>129</v>
      </c>
      <c r="H5" s="26">
        <v>32</v>
      </c>
    </row>
    <row r="6" spans="1:8" x14ac:dyDescent="0.35">
      <c r="D6" s="20" t="s">
        <v>132</v>
      </c>
      <c r="E6" s="26">
        <v>12</v>
      </c>
      <c r="G6" s="20" t="s">
        <v>130</v>
      </c>
      <c r="H6" s="26">
        <v>109</v>
      </c>
    </row>
    <row r="7" spans="1:8" x14ac:dyDescent="0.35">
      <c r="A7" s="3" t="s">
        <v>122</v>
      </c>
      <c r="D7" s="20" t="s">
        <v>130</v>
      </c>
      <c r="E7" s="26">
        <v>109</v>
      </c>
    </row>
    <row r="8" spans="1:8" x14ac:dyDescent="0.35">
      <c r="A8" s="26">
        <v>3.8894736842105258</v>
      </c>
    </row>
    <row r="9" spans="1:8" x14ac:dyDescent="0.35">
      <c r="D9" s="26">
        <v>22</v>
      </c>
    </row>
    <row r="10" spans="1:8" x14ac:dyDescent="0.35">
      <c r="D10" s="26">
        <v>23</v>
      </c>
    </row>
    <row r="11" spans="1:8" x14ac:dyDescent="0.35">
      <c r="A11" s="3" t="s">
        <v>121</v>
      </c>
      <c r="D11" s="26">
        <v>12</v>
      </c>
    </row>
    <row r="12" spans="1:8" x14ac:dyDescent="0.35">
      <c r="A12" s="14">
        <v>0.36385321100917423</v>
      </c>
      <c r="D12" s="36">
        <f>SUM(D9:D11)</f>
        <v>57</v>
      </c>
    </row>
    <row r="14" spans="1:8" x14ac:dyDescent="0.35">
      <c r="A14" s="3" t="s">
        <v>156</v>
      </c>
    </row>
    <row r="15" spans="1:8" x14ac:dyDescent="0.35">
      <c r="A15" s="26">
        <v>-723</v>
      </c>
    </row>
    <row r="17" spans="1:9" s="1" customFormat="1" x14ac:dyDescent="0.35">
      <c r="A17" s="2" t="s">
        <v>0</v>
      </c>
      <c r="B17" s="7" t="s">
        <v>1</v>
      </c>
      <c r="C17" s="7" t="s">
        <v>2</v>
      </c>
      <c r="D17" s="2" t="s">
        <v>3</v>
      </c>
      <c r="E17" s="2" t="s">
        <v>4</v>
      </c>
      <c r="F17" s="2" t="s">
        <v>137</v>
      </c>
      <c r="G17" s="2" t="s">
        <v>116</v>
      </c>
      <c r="H17" s="2" t="s">
        <v>117</v>
      </c>
      <c r="I17" s="2" t="s">
        <v>118</v>
      </c>
    </row>
    <row r="18" spans="1:9" x14ac:dyDescent="0.35">
      <c r="A18" s="3" t="s">
        <v>98</v>
      </c>
      <c r="B18" s="11">
        <v>199</v>
      </c>
      <c r="C18" s="11">
        <v>553</v>
      </c>
      <c r="D18" s="4">
        <v>0.64</v>
      </c>
      <c r="E18" s="5"/>
      <c r="F18" s="5"/>
      <c r="G18" s="12">
        <f>C18-B18</f>
        <v>354</v>
      </c>
      <c r="H18" s="3" t="str">
        <f>IF(F18="","",IF(F18&lt;3,"Poor",IF(F18&gt;=4.5,"Excellent","Average")))</f>
        <v/>
      </c>
      <c r="I18" s="3" t="str">
        <f>IF(D18="","",IF(D18&lt;20%,"Low Discount",IF(D18&lt;=40%,"Medium Discount","High Discount")))</f>
        <v>High Discount</v>
      </c>
    </row>
    <row r="19" spans="1:9" x14ac:dyDescent="0.35">
      <c r="A19" s="3" t="s">
        <v>45</v>
      </c>
      <c r="B19" s="11">
        <v>199</v>
      </c>
      <c r="C19" s="11">
        <v>504</v>
      </c>
      <c r="D19" s="4">
        <v>0.61</v>
      </c>
      <c r="E19" s="5"/>
      <c r="F19" s="10"/>
      <c r="G19" s="12">
        <f>C19-B19</f>
        <v>305</v>
      </c>
      <c r="H19" s="3" t="str">
        <f>IF(F19="","",IF(F19&lt;3,"Poor",IF(F19&gt;=4.5,"Excellent","Average")))</f>
        <v/>
      </c>
      <c r="I19" s="3" t="str">
        <f>IF(D19="","",IF(D19&lt;20%,"Low Discount",IF(D19&lt;=40%,"Medium Discount","High Discount")))</f>
        <v>High Discount</v>
      </c>
    </row>
    <row r="20" spans="1:9" x14ac:dyDescent="0.35">
      <c r="A20" s="3" t="s">
        <v>12</v>
      </c>
      <c r="B20" s="11">
        <v>1274</v>
      </c>
      <c r="C20" s="11">
        <v>2800</v>
      </c>
      <c r="D20" s="4">
        <v>0.55000000000000004</v>
      </c>
      <c r="E20" s="3">
        <v>5</v>
      </c>
      <c r="F20" s="9">
        <v>4.8</v>
      </c>
      <c r="G20" s="12">
        <f>C20-B20</f>
        <v>1526</v>
      </c>
      <c r="H20" s="3" t="str">
        <f>IF(F20="","",IF(F20&lt;3,"Poor",IF(F20&gt;=4.5,"Excellent","Average")))</f>
        <v>Excellent</v>
      </c>
      <c r="I20" s="3" t="str">
        <f>IF(D20="","",IF(D20&lt;20%,"Low Discount",IF(D20&lt;=40%,"Medium Discount","High Discount")))</f>
        <v>High Discount</v>
      </c>
    </row>
    <row r="21" spans="1:9" x14ac:dyDescent="0.35">
      <c r="A21" s="3" t="s">
        <v>57</v>
      </c>
      <c r="B21" s="11">
        <v>2115</v>
      </c>
      <c r="C21" s="11">
        <v>4700</v>
      </c>
      <c r="D21" s="4">
        <v>0.55000000000000004</v>
      </c>
      <c r="E21" s="3">
        <v>5</v>
      </c>
      <c r="F21" s="9">
        <v>2.1</v>
      </c>
      <c r="G21" s="12">
        <f>C21-B21</f>
        <v>2585</v>
      </c>
      <c r="H21" s="3" t="str">
        <f>IF(F21="","",IF(F21&lt;3,"Poor",IF(F21&gt;=4.5,"Excellent","Average")))</f>
        <v>Poor</v>
      </c>
      <c r="I21" s="3" t="str">
        <f>IF(D21="","",IF(D21&lt;20%,"Low Discount",IF(D21&lt;=40%,"Medium Discount","High Discount")))</f>
        <v>High Discount</v>
      </c>
    </row>
    <row r="22" spans="1:9" x14ac:dyDescent="0.35">
      <c r="A22" s="3" t="s">
        <v>56</v>
      </c>
      <c r="B22" s="11">
        <v>458</v>
      </c>
      <c r="C22" s="11">
        <v>986</v>
      </c>
      <c r="D22" s="4">
        <v>0.54</v>
      </c>
      <c r="E22" s="3">
        <v>10</v>
      </c>
      <c r="F22" s="9">
        <v>3</v>
      </c>
      <c r="G22" s="12">
        <f>C22-B22</f>
        <v>528</v>
      </c>
      <c r="H22" s="3" t="str">
        <f>IF(F22="","",IF(F22&lt;3,"Poor",IF(F22&gt;=4.5,"Excellent","Average")))</f>
        <v>Average</v>
      </c>
      <c r="I22" s="3" t="str">
        <f>IF(D22="","",IF(D22&lt;20%,"Low Discount",IF(D22&lt;=40%,"Medium Discount","High Discount")))</f>
        <v>High Discount</v>
      </c>
    </row>
    <row r="23" spans="1:9" x14ac:dyDescent="0.35">
      <c r="A23" s="3" t="s">
        <v>26</v>
      </c>
      <c r="B23" s="11">
        <v>2048</v>
      </c>
      <c r="C23" s="11">
        <v>4500</v>
      </c>
      <c r="D23" s="4">
        <v>0.54</v>
      </c>
      <c r="E23" s="3">
        <v>7</v>
      </c>
      <c r="F23" s="9">
        <v>4.3</v>
      </c>
      <c r="G23" s="12">
        <f>C23-B23</f>
        <v>2452</v>
      </c>
      <c r="H23" s="3" t="str">
        <f>IF(F23="","",IF(F23&lt;3,"Poor",IF(F23&gt;=4.5,"Excellent","Average")))</f>
        <v>Average</v>
      </c>
      <c r="I23" s="3" t="str">
        <f>IF(D23="","",IF(D23&lt;20%,"Low Discount",IF(D23&lt;=40%,"Medium Discount","High Discount")))</f>
        <v>High Discount</v>
      </c>
    </row>
    <row r="24" spans="1:9" x14ac:dyDescent="0.35">
      <c r="A24" s="3" t="s">
        <v>24</v>
      </c>
      <c r="B24" s="11">
        <v>38</v>
      </c>
      <c r="C24" s="11">
        <v>80</v>
      </c>
      <c r="D24" s="4">
        <v>0.53</v>
      </c>
      <c r="E24" s="3">
        <v>13</v>
      </c>
      <c r="F24" s="9">
        <v>3.3</v>
      </c>
      <c r="G24" s="12">
        <f>C24-B24</f>
        <v>42</v>
      </c>
      <c r="H24" s="3" t="str">
        <f>IF(F24="","",IF(F24&lt;3,"Poor",IF(F24&gt;=4.5,"Excellent","Average")))</f>
        <v>Average</v>
      </c>
      <c r="I24" s="3" t="str">
        <f>IF(D24="","",IF(D24&lt;20%,"Low Discount",IF(D24&lt;=40%,"Medium Discount","High Discount")))</f>
        <v>High Discount</v>
      </c>
    </row>
    <row r="25" spans="1:9" x14ac:dyDescent="0.35">
      <c r="A25" s="3" t="s">
        <v>35</v>
      </c>
      <c r="B25" s="11">
        <v>171</v>
      </c>
      <c r="C25" s="11">
        <v>360</v>
      </c>
      <c r="D25" s="4">
        <v>0.53</v>
      </c>
      <c r="E25" s="3">
        <v>2</v>
      </c>
      <c r="F25" s="9">
        <v>5</v>
      </c>
      <c r="G25" s="12">
        <f>C25-B25</f>
        <v>189</v>
      </c>
      <c r="H25" s="3" t="str">
        <f>IF(F25="","",IF(F25&lt;3,"Poor",IF(F25&gt;=4.5,"Excellent","Average")))</f>
        <v>Excellent</v>
      </c>
      <c r="I25" s="3" t="str">
        <f>IF(D25="","",IF(D25&lt;20%,"Low Discount",IF(D25&lt;=40%,"Medium Discount","High Discount")))</f>
        <v>High Discount</v>
      </c>
    </row>
    <row r="26" spans="1:9" x14ac:dyDescent="0.35">
      <c r="A26" s="3" t="s">
        <v>59</v>
      </c>
      <c r="B26" s="11">
        <v>325</v>
      </c>
      <c r="C26" s="11">
        <v>680</v>
      </c>
      <c r="D26" s="4">
        <v>0.52</v>
      </c>
      <c r="E26" s="3">
        <v>15</v>
      </c>
      <c r="F26" s="9">
        <v>2.7</v>
      </c>
      <c r="G26" s="12">
        <f>C26-B26</f>
        <v>355</v>
      </c>
      <c r="H26" s="3" t="str">
        <f>IF(F26="","",IF(F26&lt;3,"Poor",IF(F26&gt;=4.5,"Excellent","Average")))</f>
        <v>Poor</v>
      </c>
      <c r="I26" s="3" t="str">
        <f>IF(D26="","",IF(D26&lt;20%,"Low Discount",IF(D26&lt;=40%,"Medium Discount","High Discount")))</f>
        <v>High Discount</v>
      </c>
    </row>
    <row r="27" spans="1:9" x14ac:dyDescent="0.35">
      <c r="A27" s="3" t="s">
        <v>31</v>
      </c>
      <c r="B27" s="11">
        <v>185</v>
      </c>
      <c r="C27" s="11">
        <v>382</v>
      </c>
      <c r="D27" s="4">
        <v>0.52</v>
      </c>
      <c r="E27" s="3">
        <v>9</v>
      </c>
      <c r="F27" s="9">
        <v>4.3</v>
      </c>
      <c r="G27" s="12">
        <f>C27-B27</f>
        <v>197</v>
      </c>
      <c r="H27" s="3" t="str">
        <f>IF(F27="","",IF(F27&lt;3,"Poor",IF(F27&gt;=4.5,"Excellent","Average")))</f>
        <v>Average</v>
      </c>
      <c r="I27" s="3" t="str">
        <f>IF(D27="","",IF(D27&lt;20%,"Low Discount",IF(D27&lt;=40%,"Medium Discount","High Discount")))</f>
        <v>High Discount</v>
      </c>
    </row>
    <row r="30" spans="1:9" s="1" customFormat="1" x14ac:dyDescent="0.35">
      <c r="A30" s="2" t="s">
        <v>0</v>
      </c>
      <c r="B30" s="2" t="s">
        <v>4</v>
      </c>
      <c r="C30" s="2" t="s">
        <v>137</v>
      </c>
      <c r="D30" s="43"/>
      <c r="E30" s="43"/>
      <c r="F30" s="43"/>
      <c r="G30" s="43"/>
      <c r="H30" s="43"/>
      <c r="I30" s="43"/>
    </row>
    <row r="31" spans="1:9" x14ac:dyDescent="0.35">
      <c r="A31" s="3" t="s">
        <v>35</v>
      </c>
      <c r="B31" s="3">
        <v>2</v>
      </c>
      <c r="C31" s="9">
        <v>5</v>
      </c>
      <c r="D31" s="58"/>
      <c r="E31" s="15"/>
      <c r="F31" s="44"/>
      <c r="G31" s="15"/>
      <c r="H31" s="15"/>
      <c r="I31" s="15"/>
    </row>
    <row r="32" spans="1:9" x14ac:dyDescent="0.35">
      <c r="A32" s="3" t="s">
        <v>19</v>
      </c>
      <c r="B32" s="3">
        <v>2</v>
      </c>
      <c r="C32" s="9">
        <v>5</v>
      </c>
      <c r="D32" s="58"/>
      <c r="E32" s="15"/>
      <c r="F32" s="44"/>
      <c r="G32" s="15"/>
      <c r="H32" s="15"/>
      <c r="I32" s="15"/>
    </row>
    <row r="33" spans="1:9" x14ac:dyDescent="0.35">
      <c r="A33" s="3" t="s">
        <v>21</v>
      </c>
      <c r="B33" s="3">
        <v>3</v>
      </c>
      <c r="C33" s="9">
        <v>5</v>
      </c>
      <c r="D33" s="58"/>
      <c r="E33" s="15"/>
      <c r="F33" s="44"/>
      <c r="G33" s="15"/>
      <c r="H33" s="15"/>
      <c r="I33" s="15"/>
    </row>
    <row r="34" spans="1:9" x14ac:dyDescent="0.35">
      <c r="A34" s="3" t="s">
        <v>72</v>
      </c>
      <c r="B34" s="3">
        <v>1</v>
      </c>
      <c r="C34" s="9">
        <v>5</v>
      </c>
      <c r="D34" s="58"/>
      <c r="E34" s="15"/>
      <c r="F34" s="44"/>
      <c r="G34" s="15"/>
      <c r="H34" s="15"/>
      <c r="I34" s="15"/>
    </row>
    <row r="35" spans="1:9" x14ac:dyDescent="0.35">
      <c r="A35" s="3" t="s">
        <v>20</v>
      </c>
      <c r="B35" s="3">
        <v>2</v>
      </c>
      <c r="C35" s="9">
        <v>5</v>
      </c>
      <c r="D35" s="58"/>
      <c r="E35" s="15"/>
      <c r="F35" s="44"/>
      <c r="G35" s="15"/>
      <c r="H35" s="15"/>
      <c r="I35" s="15"/>
    </row>
    <row r="36" spans="1:9" x14ac:dyDescent="0.35">
      <c r="A36" s="3" t="s">
        <v>106</v>
      </c>
      <c r="B36" s="3">
        <v>1</v>
      </c>
      <c r="C36" s="9">
        <v>5</v>
      </c>
      <c r="D36" s="58"/>
      <c r="E36" s="15"/>
      <c r="F36" s="44"/>
      <c r="G36" s="15"/>
      <c r="H36" s="15"/>
      <c r="I36" s="15"/>
    </row>
    <row r="37" spans="1:9" x14ac:dyDescent="0.35">
      <c r="A37" s="3" t="s">
        <v>114</v>
      </c>
      <c r="B37" s="3">
        <v>1</v>
      </c>
      <c r="C37" s="9">
        <v>5</v>
      </c>
      <c r="D37" s="58"/>
      <c r="E37" s="15"/>
      <c r="F37" s="44"/>
      <c r="G37" s="15"/>
      <c r="H37" s="15"/>
      <c r="I37" s="15"/>
    </row>
    <row r="38" spans="1:9" x14ac:dyDescent="0.35">
      <c r="A38" s="3" t="s">
        <v>12</v>
      </c>
      <c r="B38" s="3">
        <v>5</v>
      </c>
      <c r="C38" s="9">
        <v>4.8</v>
      </c>
      <c r="D38" s="58"/>
      <c r="E38" s="15"/>
      <c r="F38" s="44"/>
      <c r="G38" s="15"/>
      <c r="H38" s="15"/>
      <c r="I38" s="15"/>
    </row>
    <row r="39" spans="1:9" x14ac:dyDescent="0.35">
      <c r="A39" s="3" t="s">
        <v>16</v>
      </c>
      <c r="B39" s="3">
        <v>12</v>
      </c>
      <c r="C39" s="9">
        <v>4.8</v>
      </c>
      <c r="D39" s="58"/>
      <c r="E39" s="15"/>
      <c r="F39" s="44"/>
      <c r="G39" s="15"/>
      <c r="H39" s="15"/>
      <c r="I39" s="15"/>
    </row>
    <row r="40" spans="1:9" x14ac:dyDescent="0.35">
      <c r="A40" s="3" t="s">
        <v>9</v>
      </c>
      <c r="B40" s="3">
        <v>5</v>
      </c>
      <c r="C40" s="9">
        <v>4.8</v>
      </c>
      <c r="D40" s="58"/>
      <c r="E40" s="15"/>
      <c r="F40" s="44"/>
      <c r="G40" s="15"/>
      <c r="H40" s="15"/>
      <c r="I40" s="15"/>
    </row>
  </sheetData>
  <mergeCells count="1"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Excel_jumia_dataset (1)</vt:lpstr>
      <vt:lpstr>Dashboard</vt:lpstr>
      <vt:lpstr>Pivots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Faith Munai</dc:creator>
  <cp:lastModifiedBy>Admin</cp:lastModifiedBy>
  <dcterms:created xsi:type="dcterms:W3CDTF">2026-06-13T22:59:02Z</dcterms:created>
  <dcterms:modified xsi:type="dcterms:W3CDTF">2026-06-14T22:19:10Z</dcterms:modified>
</cp:coreProperties>
</file>